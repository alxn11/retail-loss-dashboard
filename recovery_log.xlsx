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quiroz/Downloads/"/>
    </mc:Choice>
  </mc:AlternateContent>
  <xr:revisionPtr revIDLastSave="0" documentId="8_{2A616BDA-BDB8-6B4B-960F-A399846841F3}" xr6:coauthVersionLast="47" xr6:coauthVersionMax="47" xr10:uidLastSave="{00000000-0000-0000-0000-000000000000}"/>
  <bookViews>
    <workbookView xWindow="380" yWindow="500" windowWidth="28420" windowHeight="16340" xr2:uid="{B419BFFE-804D-7643-B299-69E58D6E8254}"/>
  </bookViews>
  <sheets>
    <sheet name="Dashboard" sheetId="3" r:id="rId1"/>
    <sheet name="Recovery Log" sheetId="1" r:id="rId2"/>
    <sheet name="Pivots" sheetId="4" r:id="rId3"/>
    <sheet name="Dropdown List" sheetId="2" r:id="rId4"/>
  </sheets>
  <definedNames>
    <definedName name="Cashier_Behavior">'Recovery Log'!$I$4:$I$82</definedName>
    <definedName name="Cashier_Name">'Recovery Log'!$A$4:$A$82</definedName>
    <definedName name="Cashiers">'Dropdown List'!$B$3:$B$20</definedName>
    <definedName name="Date">'Recovery Log'!$C$4:$C$82</definedName>
    <definedName name="Day_of_Week">'Recovery Log'!$B$4:$B$82</definedName>
    <definedName name="Days">'Dropdown List'!$F$3:$F$9</definedName>
    <definedName name="Location">'Recovery Log'!$J$4:$J$82</definedName>
    <definedName name="Locations">'Dropdown List'!$D$3:$D$4</definedName>
    <definedName name="Product_Description">'Recovery Log'!$G$4:$G$82</definedName>
    <definedName name="Recovery">'Recovery Log'!$H$4:$H$82</definedName>
    <definedName name="Register">'Recovery Log'!$E$4:$E$82</definedName>
    <definedName name="Time">'Recovery Log'!$D$4:$D$82</definedName>
    <definedName name="Transaction">'Recovery Log'!$F$4:$F$82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B47" i="3"/>
  <c r="B49" i="3"/>
  <c r="B48" i="3" s="1"/>
  <c r="B46" i="3"/>
</calcChain>
</file>

<file path=xl/sharedStrings.xml><?xml version="1.0" encoding="utf-8"?>
<sst xmlns="http://schemas.openxmlformats.org/spreadsheetml/2006/main" count="493" uniqueCount="128">
  <si>
    <t>Cashiers</t>
  </si>
  <si>
    <t>Alan</t>
  </si>
  <si>
    <t>Amanda</t>
  </si>
  <si>
    <t>Jen</t>
  </si>
  <si>
    <t>Jesus</t>
  </si>
  <si>
    <t>Bernie</t>
  </si>
  <si>
    <t>Caroline</t>
  </si>
  <si>
    <t>Maya</t>
  </si>
  <si>
    <t>Anjie</t>
  </si>
  <si>
    <t>Philip</t>
  </si>
  <si>
    <t>Lorena</t>
  </si>
  <si>
    <t>Ingrid</t>
  </si>
  <si>
    <t>Shelby</t>
  </si>
  <si>
    <t>Luvana</t>
  </si>
  <si>
    <t>Leo</t>
  </si>
  <si>
    <t>Alonso</t>
  </si>
  <si>
    <t>Julissa</t>
  </si>
  <si>
    <t>JC</t>
  </si>
  <si>
    <t>Locations</t>
  </si>
  <si>
    <t>SCO</t>
  </si>
  <si>
    <t>Garden</t>
  </si>
  <si>
    <t>Recovery Log</t>
  </si>
  <si>
    <t>Cashier Name</t>
  </si>
  <si>
    <t>Day of Week</t>
  </si>
  <si>
    <t>Date</t>
  </si>
  <si>
    <t>Time</t>
  </si>
  <si>
    <t>Register #</t>
  </si>
  <si>
    <t>Transaction #</t>
  </si>
  <si>
    <t>Product Description</t>
  </si>
  <si>
    <t>Recovery $</t>
  </si>
  <si>
    <t>Cashier Behavior</t>
  </si>
  <si>
    <t>Location</t>
  </si>
  <si>
    <t>Monday</t>
  </si>
  <si>
    <t>Drawer</t>
  </si>
  <si>
    <t>MITCH</t>
  </si>
  <si>
    <t>Days</t>
  </si>
  <si>
    <t>Tuesday</t>
  </si>
  <si>
    <t>Wednesday</t>
  </si>
  <si>
    <t>Thursday</t>
  </si>
  <si>
    <t>Friday</t>
  </si>
  <si>
    <t>Saturday</t>
  </si>
  <si>
    <t>Sunday</t>
  </si>
  <si>
    <t>Tough Tote</t>
  </si>
  <si>
    <t>LISA</t>
  </si>
  <si>
    <t>Plants</t>
  </si>
  <si>
    <t>BOB</t>
  </si>
  <si>
    <t>Moulding</t>
  </si>
  <si>
    <t>BOB, HAM</t>
  </si>
  <si>
    <t>Cleaning supplies</t>
  </si>
  <si>
    <t>HAM, LISA</t>
  </si>
  <si>
    <t>Seeds, plants</t>
  </si>
  <si>
    <t>BOB, HAM, LANA, LISA</t>
  </si>
  <si>
    <t>Bins, plants, cleaning</t>
  </si>
  <si>
    <t>BOB, MICTH,, HAM, LANA</t>
  </si>
  <si>
    <t>Boxes</t>
  </si>
  <si>
    <t>Plants, potting mix</t>
  </si>
  <si>
    <t>BOB, HAM, LISA, LANA</t>
  </si>
  <si>
    <t>Elvalina</t>
  </si>
  <si>
    <t>Drillbits</t>
  </si>
  <si>
    <t>Hardware, plants</t>
  </si>
  <si>
    <t>PVC</t>
  </si>
  <si>
    <t>Trash Can</t>
  </si>
  <si>
    <t>Seeds mix</t>
  </si>
  <si>
    <t>Lightbulbs</t>
  </si>
  <si>
    <t>Plumbing items</t>
  </si>
  <si>
    <t>BOB, LANA, HAM</t>
  </si>
  <si>
    <t>BOB, LISA, HAM</t>
  </si>
  <si>
    <t>HAM, LANA</t>
  </si>
  <si>
    <t>LISA, HAM</t>
  </si>
  <si>
    <t>HAM</t>
  </si>
  <si>
    <t>LANA</t>
  </si>
  <si>
    <t>HAM, LANA, LISA</t>
  </si>
  <si>
    <t>Tape</t>
  </si>
  <si>
    <t>Candy Canes</t>
  </si>
  <si>
    <t>Garden items</t>
  </si>
  <si>
    <t>Mop</t>
  </si>
  <si>
    <t>Shock wave</t>
  </si>
  <si>
    <t>Screwdriver, hardware</t>
  </si>
  <si>
    <t>Mulch</t>
  </si>
  <si>
    <t>Capt</t>
  </si>
  <si>
    <t>Airwick</t>
  </si>
  <si>
    <t>Keys</t>
  </si>
  <si>
    <t>Light bulbs</t>
  </si>
  <si>
    <t>Vitamin Water</t>
  </si>
  <si>
    <t>Hardware</t>
  </si>
  <si>
    <t>Gloves</t>
  </si>
  <si>
    <t>Saucer, plants</t>
  </si>
  <si>
    <t>Plants, seasonal</t>
  </si>
  <si>
    <t xml:space="preserve">Hardware </t>
  </si>
  <si>
    <t xml:space="preserve">Plants </t>
  </si>
  <si>
    <t>Vent</t>
  </si>
  <si>
    <t>Screws</t>
  </si>
  <si>
    <t>Totes</t>
  </si>
  <si>
    <t>Inpection camera</t>
  </si>
  <si>
    <t>Chairs</t>
  </si>
  <si>
    <t>Paint</t>
  </si>
  <si>
    <t>Disklight</t>
  </si>
  <si>
    <t>MAC</t>
  </si>
  <si>
    <t>HAM, LISA, LANA</t>
  </si>
  <si>
    <t>HAM, MAC</t>
  </si>
  <si>
    <t>HAM, MITCH</t>
  </si>
  <si>
    <t>Wallplates</t>
  </si>
  <si>
    <t>Tarp</t>
  </si>
  <si>
    <t>Multiple items</t>
  </si>
  <si>
    <t>Ladder</t>
  </si>
  <si>
    <t>Quickbags</t>
  </si>
  <si>
    <t>Air filter</t>
  </si>
  <si>
    <t>Magnette nutdriver set</t>
  </si>
  <si>
    <t>Markers, hardware</t>
  </si>
  <si>
    <t>Blades</t>
  </si>
  <si>
    <t>Complex cart</t>
  </si>
  <si>
    <t>Electrical</t>
  </si>
  <si>
    <t>Towels</t>
  </si>
  <si>
    <t>Nails, bolts</t>
  </si>
  <si>
    <t>Tool box</t>
  </si>
  <si>
    <t>Cleaning, lights</t>
  </si>
  <si>
    <t>LISA, LANA, HAM</t>
  </si>
  <si>
    <t>Row Labels</t>
  </si>
  <si>
    <t>Grand Total</t>
  </si>
  <si>
    <t>Sum of Recovery $</t>
  </si>
  <si>
    <t>Count of Recovery $</t>
  </si>
  <si>
    <t>Total Recovery $</t>
  </si>
  <si>
    <t># of Recoveries</t>
  </si>
  <si>
    <t>)</t>
  </si>
  <si>
    <t>Highest Single Recovery</t>
  </si>
  <si>
    <t>Cashier with Most Recoveries</t>
  </si>
  <si>
    <t>Total Recovery $ Count</t>
  </si>
  <si>
    <t>Highest Single Recovery by Cashier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</si>
</sst>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h:mm\ AM/PM;@"/>
  </numFmts>
  <fonts count="5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2"/>
      <color theme="1"/>
      <name val="Imprint MT Shadow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3" borderId="0" xfId="2"/>
    <xf numFmtId="0" fontId="1" fillId="2" borderId="1" xfId="1"/>
    <xf numFmtId="0" fontId="1" fillId="2" borderId="1" xfId="1" applyAlignment="1">
      <alignment horizontal="center"/>
    </xf>
    <xf numFmtId="164" fontId="1" fillId="2" borderId="1" xfId="1" applyNumberFormat="1"/>
    <xf numFmtId="0" fontId="3" fillId="0" borderId="0" xfId="0" applyFont="1" applyAlignment="1">
      <alignment horizontal="center" vertical="center"/>
    </xf>
  </cellXfs>
  <cellStyles count="3">
    <cellStyle name="Accent2" xfId="2" builtinId="33"/>
    <cellStyle name="Input" xfId="1" builtinId="20"/>
    <cellStyle name="Normal" xfId="0" builtinId="0"/>
  </cellStyles>
  <dxfs count="5">
    <dxf>
      <numFmt numFmtId="2" formatCode="0.00"/>
    </dxf>
    <dxf>
      <numFmt numFmtId="164" formatCode="&quot;$&quot;#,##0.00"/>
    </dxf>
    <dxf>
      <numFmt numFmtId="165" formatCode="[$-409]h:mm\ AM/PM;@"/>
    </dxf>
    <dxf>
      <numFmt numFmtId="19" formatCode="m/d/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[recovery_log.xlsx]Pivots!PivotTable1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6 Total</a:t>
            </a:r>
            <a:r>
              <a:rPr lang="en-US" baseline="0"/>
              <a:t> Recoveries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Pivots!$A$4:$A$11</c:f>
              <c:strCache>
                <c:ptCount val="7"/>
                <c:pt idx="0">
                  <c:v>Alan</c:v>
                </c:pt>
                <c:pt idx="1">
                  <c:v>Elvalina</c:v>
                </c:pt>
                <c:pt idx="2">
                  <c:v>Jesus</c:v>
                </c:pt>
                <c:pt idx="3">
                  <c:v>Ingrid</c:v>
                </c:pt>
                <c:pt idx="4">
                  <c:v>Jen</c:v>
                </c:pt>
                <c:pt idx="5">
                  <c:v>Maya</c:v>
                </c:pt>
                <c:pt idx="6">
                  <c:v>JC</c:v>
                </c:pt>
              </c:strCache>
            </c:strRef>
          </c:cat>
          <c:val>
            <c:numRef>
              <c:f>Pivots!$B$4:$B$11</c:f>
              <c:numCache>
                <c:formatCode>"$"#,##0.00</c:formatCode>
                <c:ptCount val="7"/>
                <c:pt idx="0">
                  <c:v>3600.0349999999999</c:v>
                </c:pt>
                <c:pt idx="1">
                  <c:v>1061.8499999999999</c:v>
                </c:pt>
                <c:pt idx="2">
                  <c:v>977.35</c:v>
                </c:pt>
                <c:pt idx="3">
                  <c:v>624.31999999999994</c:v>
                </c:pt>
                <c:pt idx="4">
                  <c:v>441.96000000000004</c:v>
                </c:pt>
                <c:pt idx="5">
                  <c:v>372.57</c:v>
                </c:pt>
                <c:pt idx="6">
                  <c:v>346.46999999999997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F-9247-AA1B-797242D82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08768"/>
        <c:axId val="36310480"/>
      </c:barChart>
      <c:catAx>
        <c:axId val="3630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0480"/>
        <c:crosses val="autoZero"/>
        <c:auto val="1"/>
        <c:lblAlgn val="ctr"/>
        <c:lblOffset val="100"/>
        <c:noMultiLvlLbl val="0"/>
      </c:catAx>
      <c:valAx>
        <c:axId val="3631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8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[recovery_log.xlsx]Pivots!PivotTable2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9079754601226997E-3"/>
              <c:y val="-0.4022617334123557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cap="none" spc="50" baseline="0">
                    <a:ln w="0"/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fld id="{58FD96AF-5B41-0643-9F19-8CB9C47DFC31}" type="CATEGORYNAME">
                  <a:rPr lang="en-US"/>
                  <a:pPr>
                    <a:defRPr sz="1400" b="1" i="0" u="none" strike="noStrike" kern="1200" cap="none" spc="50" baseline="0">
                      <a:ln w="0"/>
                      <a:solidFill>
                        <a:schemeClr val="bg2"/>
                      </a:solidFill>
                      <a:effectLst>
                        <a:innerShdw blurRad="63500" dist="50800" dir="13500000">
                          <a:srgbClr val="000000">
                            <a:alpha val="50000"/>
                          </a:srgbClr>
                        </a:innerShdw>
                      </a:effectLst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407B8098-CF0A-9B41-A478-C63A2F38A784}" type="VALUE">
                  <a:rPr lang="en-US" baseline="0"/>
                  <a:pPr>
                    <a:defRPr sz="1400" b="1" i="0" u="none" strike="noStrike" kern="1200" cap="none" spc="50" baseline="0">
                      <a:ln w="0"/>
                      <a:solidFill>
                        <a:schemeClr val="bg2"/>
                      </a:solidFill>
                      <a:effectLst>
                        <a:innerShdw blurRad="63500" dist="50800" dir="13500000">
                          <a:srgbClr val="000000">
                            <a:alpha val="50000"/>
                          </a:srgbClr>
                        </a:innerShd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9079754601226997E-3"/>
              <c:y val="-0.4022617334123557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cap="none" spc="50" baseline="0">
                    <a:ln w="0"/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fld id="{58FD96AF-5B41-0643-9F19-8CB9C47DFC31}" type="CATEGORYNAME">
                  <a:rPr lang="en-US"/>
                  <a:pPr>
                    <a:defRPr sz="1400" b="1" cap="none" spc="50">
                      <a:ln w="0"/>
                      <a:solidFill>
                        <a:schemeClr val="bg2"/>
                      </a:solidFill>
                      <a:effectLst>
                        <a:innerShdw blurRad="63500" dist="50800" dir="13500000">
                          <a:srgbClr val="000000">
                            <a:alpha val="50000"/>
                          </a:srgbClr>
                        </a:innerShdw>
                      </a:effectLst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407B8098-CF0A-9B41-A478-C63A2F38A784}" type="VALUE">
                  <a:rPr lang="en-US" baseline="0"/>
                  <a:pPr>
                    <a:defRPr sz="1400" b="1" cap="none" spc="50">
                      <a:ln w="0"/>
                      <a:solidFill>
                        <a:schemeClr val="bg2"/>
                      </a:solidFill>
                      <a:effectLst>
                        <a:innerShdw blurRad="63500" dist="50800" dir="13500000">
                          <a:srgbClr val="000000">
                            <a:alpha val="50000"/>
                          </a:srgbClr>
                        </a:innerShdw>
                      </a:effectLst>
                    </a:defRPr>
                  </a:pPr>
                  <a:t>[VALUE]</a:t>
                </a:fld>
                <a:r>
                  <a:rPr lang="en-US" baseline="0"/>
                  <a:t>, </a:t>
                </a:r>
              </a:p>
            </c:rich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049256342957129"/>
          <c:y val="0.1185235069300548"/>
          <c:w val="0.64769991251093617"/>
          <c:h val="0.85223672698807384"/>
        </c:manualLayout>
      </c:layout>
      <c:pieChart>
        <c:varyColors val="1"/>
        <c:ser>
          <c:idx val="0"/>
          <c:order val="0"/>
          <c:tx>
            <c:strRef>
              <c:f>Pivots!$D$3</c:f>
              <c:strCache>
                <c:ptCount val="1"/>
                <c:pt idx="0">
                  <c:v>Total Recovery $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9E-394C-8B05-FF3DECC7CC2A}"/>
              </c:ext>
            </c:extLst>
          </c:dPt>
          <c:dLbls>
            <c:dLbl>
              <c:idx val="0"/>
              <c:layout>
                <c:manualLayout>
                  <c:x val="-4.9079754601226997E-3"/>
                  <c:y val="-0.40226173341235572"/>
                </c:manualLayout>
              </c:layout>
              <c:tx>
                <c:rich>
                  <a:bodyPr/>
                  <a:lstStyle/>
                  <a:p>
                    <a:fld id="{58FD96AF-5B41-0643-9F19-8CB9C47DFC31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407B8098-CF0A-9B41-A478-C63A2F38A78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F9E-394C-8B05-FF3DECC7CC2A}"/>
                </c:ext>
              </c:extLst>
            </c:dLbl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cap="none" spc="50" baseline="0">
                    <a:ln w="0"/>
                    <a:solidFill>
                      <a:schemeClr val="bg2"/>
                    </a:solidFill>
                    <a:effectLst>
                      <a:innerShdw blurRad="63500" dist="50800" dir="13500000">
                        <a:srgbClr val="000000">
                          <a:alpha val="50000"/>
                        </a:srgb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Pivots!$D$4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Pivots!$D$4</c:f>
              <c:numCache>
                <c:formatCode>"$"#,##0.00</c:formatCode>
                <c:ptCount val="1"/>
                <c:pt idx="0">
                  <c:v>8580.9349999999959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E-394C-8B05-FF3DECC7CC2A}"/>
            </c:ext>
          </c:extLst>
        </c:ser>
        <c:ser>
          <c:idx val="1"/>
          <c:order val="1"/>
          <c:tx>
            <c:strRef>
              <c:f>Pivots!$E$3</c:f>
              <c:strCache>
                <c:ptCount val="1"/>
                <c:pt idx="0">
                  <c:v># of Recoveries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F9E-394C-8B05-FF3DECC7CC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Pivots!$D$4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Pivots!$E$4</c:f>
              <c:numCache>
                <c:formatCode>0.00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9E-394C-8B05-FF3DECC7CC2A}"/>
            </c:ext>
          </c:extLst>
        </c:ser>
        <c:dLbls>
          <c:dLblPos val="in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[recovery_log.xlsx]Pivots!PivotTable3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</a:t>
            </a:r>
            <a:r>
              <a:rPr lang="en-US" baseline="0"/>
              <a:t>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E9713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</c:pivotFmt>
      <c:pivotFmt>
        <c:idx val="2"/>
        <c:spPr>
          <a:pattFill prst="ltUpDiag">
            <a:fgClr>
              <a:schemeClr val="accent2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E9713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E9713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Pivots!$I$3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14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solidFill>
                <a:srgbClr val="E9713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Pivots!$H$4:$H$11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Pivots!$I$4:$I$11</c:f>
              <c:numCache>
                <c:formatCode>General</c:formatCode>
                <c:ptCount val="7"/>
                <c:pt idx="0">
                  <c:v>7</c:v>
                </c:pt>
                <c:pt idx="1">
                  <c:v>11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4-8A45-8FB2-57FEF19689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8845712"/>
        <c:axId val="330825840"/>
      </c:lineChart>
      <c:catAx>
        <c:axId val="1588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25840"/>
        <c:crosses val="autoZero"/>
        <c:auto val="1"/>
        <c:lblAlgn val="ctr"/>
        <c:lblOffset val="100"/>
        <c:noMultiLvlLbl val="0"/>
      </c:catAx>
      <c:valAx>
        <c:axId val="330825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84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[recovery_log.xlsx]Pivots!CountRec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Cashier Performance</a:t>
            </a:r>
            <a:r>
              <a:rPr lang="en-US" baseline="0"/>
              <a:t> Summary (Recoveries)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Pivots!$A$16:$A$33</c:f>
              <c:strCache>
                <c:ptCount val="17"/>
                <c:pt idx="0">
                  <c:v>Alan</c:v>
                </c:pt>
                <c:pt idx="1">
                  <c:v>Jen</c:v>
                </c:pt>
                <c:pt idx="2">
                  <c:v>Maya</c:v>
                </c:pt>
                <c:pt idx="3">
                  <c:v>Jesus</c:v>
                </c:pt>
                <c:pt idx="4">
                  <c:v>Ingrid</c:v>
                </c:pt>
                <c:pt idx="5">
                  <c:v>Alonso</c:v>
                </c:pt>
                <c:pt idx="6">
                  <c:v>Luvana</c:v>
                </c:pt>
                <c:pt idx="7">
                  <c:v>Anjie</c:v>
                </c:pt>
                <c:pt idx="8">
                  <c:v>JC</c:v>
                </c:pt>
                <c:pt idx="9">
                  <c:v>Elvalina</c:v>
                </c:pt>
                <c:pt idx="10">
                  <c:v>Philip</c:v>
                </c:pt>
                <c:pt idx="11">
                  <c:v>Amanda</c:v>
                </c:pt>
                <c:pt idx="12">
                  <c:v>Shelby</c:v>
                </c:pt>
                <c:pt idx="13">
                  <c:v>Caroline</c:v>
                </c:pt>
                <c:pt idx="14">
                  <c:v>Julissa</c:v>
                </c:pt>
                <c:pt idx="15">
                  <c:v>Bernie</c:v>
                </c:pt>
                <c:pt idx="16">
                  <c:v>Lorena</c:v>
                </c:pt>
              </c:strCache>
            </c:strRef>
          </c:cat>
          <c:val>
            <c:numRef>
              <c:f>Pivots!$B$16:$B$33</c:f>
              <c:numCache>
                <c:formatCode>General</c:formatCode>
                <c:ptCount val="17"/>
                <c:pt idx="0">
                  <c:v>23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9-884D-9F99-68EE61A6BC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3246464"/>
        <c:axId val="35761248"/>
      </c:barChart>
      <c:catAx>
        <c:axId val="732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1248"/>
        <c:crosses val="autoZero"/>
        <c:auto val="1"/>
        <c:lblAlgn val="ctr"/>
        <c:lblOffset val="100"/>
        <c:noMultiLvlLbl val="0"/>
      </c:catAx>
      <c:valAx>
        <c:axId val="3576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[recovery_log.xlsx]Pivots!PivotTable6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Cashier Behavior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>
              <a:shade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>
              <a:shade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>
              <a:tint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7C-5847-97F8-83BD863B6C11}"/>
              </c:ext>
            </c:extLst>
          </c:dPt>
          <c:dPt>
            <c:idx val="1"/>
            <c:bubble3D val="0"/>
            <c:spPr>
              <a:solidFill>
                <a:schemeClr val="accent2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7C-5847-97F8-83BD863B6C11}"/>
              </c:ext>
            </c:extLst>
          </c:dPt>
          <c:dPt>
            <c:idx val="2"/>
            <c:bubble3D val="0"/>
            <c:spPr>
              <a:solidFill>
                <a:schemeClr val="accent2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7C-5847-97F8-83BD863B6C11}"/>
              </c:ext>
            </c:extLst>
          </c:dPt>
          <c:dPt>
            <c:idx val="3"/>
            <c:bubble3D val="0"/>
            <c:spPr>
              <a:solidFill>
                <a:schemeClr val="accent2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7C-5847-97F8-83BD863B6C11}"/>
              </c:ext>
            </c:extLst>
          </c:dPt>
          <c:dPt>
            <c:idx val="4"/>
            <c:bubble3D val="0"/>
            <c:spPr>
              <a:solidFill>
                <a:schemeClr val="accent2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7C-5847-97F8-83BD863B6C11}"/>
              </c:ext>
            </c:extLst>
          </c:dPt>
          <c:dPt>
            <c:idx val="5"/>
            <c:bubble3D val="0"/>
            <c:spPr>
              <a:solidFill>
                <a:schemeClr val="accent2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7C-5847-97F8-83BD863B6C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Pivots!$H$15:$H$21</c:f>
              <c:strCache>
                <c:ptCount val="6"/>
                <c:pt idx="0">
                  <c:v>BOB</c:v>
                </c:pt>
                <c:pt idx="1">
                  <c:v>HAM</c:v>
                </c:pt>
                <c:pt idx="2">
                  <c:v>LANA</c:v>
                </c:pt>
                <c:pt idx="3">
                  <c:v>LISA</c:v>
                </c:pt>
                <c:pt idx="4">
                  <c:v>MAC</c:v>
                </c:pt>
                <c:pt idx="5">
                  <c:v>MITCH</c:v>
                </c:pt>
              </c:strCache>
            </c:strRef>
          </c:cat>
          <c:val>
            <c:numRef>
              <c:f>Pivots!$I$15:$I$21</c:f>
              <c:numCache>
                <c:formatCode>General</c:formatCode>
                <c:ptCount val="6"/>
                <c:pt idx="0">
                  <c:v>2</c:v>
                </c:pt>
                <c:pt idx="1">
                  <c:v>29</c:v>
                </c:pt>
                <c:pt idx="2">
                  <c:v>4</c:v>
                </c:pt>
                <c:pt idx="3">
                  <c:v>11</c:v>
                </c:pt>
                <c:pt idx="4">
                  <c:v>2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7C-5847-97F8-83BD863B6C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9</xdr:col>
      <xdr:colOff>457200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9A94A-8667-ECEA-5510-98A1E299F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25400</xdr:rowOff>
    </xdr:from>
    <xdr:to>
      <xdr:col>15</xdr:col>
      <xdr:colOff>762000</xdr:colOff>
      <xdr:row>21</xdr:row>
      <xdr:rowOff>101600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36A686E-A7F5-6FD9-DFC5-AB9271C3A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22</xdr:row>
      <xdr:rowOff>25400</xdr:rowOff>
    </xdr:from>
    <xdr:to>
      <xdr:col>17</xdr:col>
      <xdr:colOff>342900</xdr:colOff>
      <xdr:row>43</xdr:row>
      <xdr:rowOff>190500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3FED83A-29B3-8593-4E63-0DAC2A0B5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184150</xdr:colOff>
      <xdr:row>0</xdr:row>
      <xdr:rowOff>0</xdr:rowOff>
    </xdr:from>
    <xdr:to>
      <xdr:col>23</xdr:col>
      <xdr:colOff>368300</xdr:colOff>
      <xdr:row>22</xdr:row>
      <xdr:rowOff>12700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440D09F8-6190-7A8A-D814-460A26E43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501650</xdr:colOff>
      <xdr:row>22</xdr:row>
      <xdr:rowOff>25400</xdr:rowOff>
    </xdr:from>
    <xdr:to>
      <xdr:col>8</xdr:col>
      <xdr:colOff>76200</xdr:colOff>
      <xdr:row>44</xdr:row>
      <xdr:rowOff>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C76AB7D1-04A5-3C64-6BF8-F60154C6C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81.56380034722" createdVersion="8" refreshedVersion="8" minRefreshableVersion="3" recordCount="79" xr:uid="{91FFF52F-2495-9F4C-93C7-FE1D1F8BF710}">
  <cacheSource type="worksheet">
    <worksheetSource name="reclog"/>
  </cacheSource>
  <cacheFields count="11">
    <cacheField name="Cashier Name" numFmtId="0">
      <sharedItems count="17">
        <s v="Bernie"/>
        <s v="Anjie"/>
        <s v="Jesus"/>
        <s v="Alan"/>
        <s v="Lorena"/>
        <s v="Philip"/>
        <s v="Alonso"/>
        <s v="Amanda"/>
        <s v="Jen"/>
        <s v="Caroline"/>
        <s v="Maya"/>
        <s v="Luvana"/>
        <s v="Shelby"/>
        <s v="Ingrid"/>
        <s v="JC"/>
        <s v="Elvalina"/>
        <s v="Julissa"/>
      </sharedItems>
    </cacheField>
    <cacheField name="Day of 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Date" numFmtId="14">
      <sharedItems containsSemiMixedTypes="0" containsNonDate="0" containsDate="1" containsString="0" minDate="2025-11-03T00:00:00" maxDate="2025-11-19T00:00:00" count="16"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</sharedItems>
      <fieldGroup par="10"/>
    </cacheField>
    <cacheField name="Time" numFmtId="165">
      <sharedItems containsSemiMixedTypes="0" containsNonDate="0" containsDate="1" containsString="0" minDate="1899-12-30T03:02:00" maxDate="1899-12-30T21:35:00"/>
    </cacheField>
    <cacheField name="Register #" numFmtId="0">
      <sharedItems containsSemiMixedTypes="0" containsString="0" containsNumber="1" containsInteger="1" minValue="22" maxValue="62"/>
    </cacheField>
    <cacheField name="Transaction #" numFmtId="0">
      <sharedItems containsSemiMixedTypes="0" containsString="0" containsNumber="1" containsInteger="1" minValue="1035" maxValue="98714"/>
    </cacheField>
    <cacheField name="Product Description" numFmtId="0">
      <sharedItems/>
    </cacheField>
    <cacheField name="Recovery $" numFmtId="164">
      <sharedItems containsSemiMixedTypes="0" containsString="0" containsNumber="1" minValue="1.64" maxValue="857.08"/>
    </cacheField>
    <cacheField name="Cashier Behavior" numFmtId="0">
      <sharedItems count="24">
        <s v="MITCH"/>
        <s v="HAM"/>
        <s v="HAM, LISA"/>
        <s v="LISA"/>
        <s v="MAC"/>
        <s v="HAM, LANA"/>
        <s v="HAM, LISA, LANA"/>
        <s v="HAM, MITCH"/>
        <s v="BOB"/>
        <s v="BOB, HAM"/>
        <s v="BOB, HAM, LANA, LISA"/>
        <s v="BOB, MICTH,, HAM, LANA"/>
        <s v="LANA"/>
        <s v="HAM, MAC"/>
        <s v="BOB, HAM, LISA, LANA"/>
        <s v="BOB, LISA, HAM"/>
        <s v="LISA, LANA, HAM"/>
        <s v="BOB, LANA, HAM"/>
        <s v="LISA, HAM"/>
        <s v="HAM, LANA, LISA"/>
        <s v="HAM " u="1"/>
        <s v="LISA " u="1"/>
        <s v="HAM, LANA " u="1"/>
        <s v="MTCH" u="1"/>
      </sharedItems>
    </cacheField>
    <cacheField name="Location" numFmtId="0">
      <sharedItems/>
    </cacheField>
    <cacheField name="Days (Date)" numFmtId="0" databaseField="0">
      <fieldGroup base="2">
        <rangePr groupBy="days" startDate="2025-11-03T00:00:00" endDate="2025-11-19T00:00:00"/>
        <groupItems count="368">
          <s v="&lt;11/3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9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d v="1899-12-30T11:46:00"/>
    <n v="23"/>
    <n v="38556"/>
    <s v="Drawer"/>
    <n v="7.88"/>
    <x v="0"/>
    <s v="Garden"/>
  </r>
  <r>
    <x v="1"/>
    <x v="1"/>
    <x v="1"/>
    <d v="1899-12-30T12:06:00"/>
    <n v="53"/>
    <n v="59864"/>
    <s v="Inpection camera"/>
    <n v="130"/>
    <x v="1"/>
    <s v="SCO"/>
  </r>
  <r>
    <x v="2"/>
    <x v="1"/>
    <x v="1"/>
    <d v="1899-12-30T14:09:00"/>
    <n v="55"/>
    <n v="56311"/>
    <s v="Chairs"/>
    <n v="242"/>
    <x v="1"/>
    <s v="SCO"/>
  </r>
  <r>
    <x v="3"/>
    <x v="1"/>
    <x v="1"/>
    <d v="1899-12-30T11:22:00"/>
    <n v="52"/>
    <n v="12691"/>
    <s v="Paint"/>
    <n v="25"/>
    <x v="0"/>
    <s v="SCO"/>
  </r>
  <r>
    <x v="3"/>
    <x v="1"/>
    <x v="1"/>
    <d v="1899-12-30T15:28:00"/>
    <n v="51"/>
    <n v="47525"/>
    <s v="Totes"/>
    <n v="643.54"/>
    <x v="2"/>
    <s v="SCO"/>
  </r>
  <r>
    <x v="3"/>
    <x v="1"/>
    <x v="1"/>
    <d v="1899-12-30T15:40:00"/>
    <n v="51"/>
    <n v="47608"/>
    <s v="Moulding"/>
    <n v="183.74"/>
    <x v="1"/>
    <s v="SCO"/>
  </r>
  <r>
    <x v="4"/>
    <x v="1"/>
    <x v="1"/>
    <d v="1899-12-30T09:28:00"/>
    <n v="52"/>
    <n v="15512"/>
    <s v="Disklight"/>
    <n v="66"/>
    <x v="3"/>
    <s v="SCO"/>
  </r>
  <r>
    <x v="1"/>
    <x v="2"/>
    <x v="2"/>
    <d v="1899-12-30T10:41:00"/>
    <n v="52"/>
    <n v="16908"/>
    <s v="Totes"/>
    <n v="23.43"/>
    <x v="4"/>
    <s v="SCO"/>
  </r>
  <r>
    <x v="5"/>
    <x v="2"/>
    <x v="2"/>
    <d v="1899-12-30T03:02:00"/>
    <n v="54"/>
    <n v="81676"/>
    <s v="Moulding"/>
    <n v="63.97"/>
    <x v="3"/>
    <s v="SCO"/>
  </r>
  <r>
    <x v="5"/>
    <x v="2"/>
    <x v="2"/>
    <d v="1899-12-30T07:45:00"/>
    <n v="61"/>
    <n v="18145"/>
    <s v="Screws"/>
    <n v="1.86"/>
    <x v="1"/>
    <s v="SCO"/>
  </r>
  <r>
    <x v="3"/>
    <x v="2"/>
    <x v="2"/>
    <d v="1899-12-30T10:56:00"/>
    <n v="23"/>
    <n v="45759"/>
    <s v="Plants, seasonal"/>
    <n v="121.87"/>
    <x v="5"/>
    <s v="Garden"/>
  </r>
  <r>
    <x v="3"/>
    <x v="2"/>
    <x v="2"/>
    <d v="1899-12-30T10:33:00"/>
    <n v="23"/>
    <n v="45601"/>
    <s v="Gloves"/>
    <n v="46.115000000000002"/>
    <x v="0"/>
    <s v="Garden"/>
  </r>
  <r>
    <x v="2"/>
    <x v="3"/>
    <x v="3"/>
    <d v="1899-12-30T12:36:00"/>
    <n v="51"/>
    <n v="55718"/>
    <s v="Vent"/>
    <n v="24"/>
    <x v="1"/>
    <s v="SCO"/>
  </r>
  <r>
    <x v="2"/>
    <x v="3"/>
    <x v="3"/>
    <d v="1899-12-30T13:41:00"/>
    <n v="51"/>
    <n v="21551"/>
    <s v="Hardware "/>
    <n v="89.39"/>
    <x v="6"/>
    <s v="SCO"/>
  </r>
  <r>
    <x v="3"/>
    <x v="3"/>
    <x v="3"/>
    <d v="1899-12-30T15:58:00"/>
    <n v="23"/>
    <n v="51070"/>
    <s v="Plants "/>
    <n v="228.36"/>
    <x v="0"/>
    <s v="Garden"/>
  </r>
  <r>
    <x v="3"/>
    <x v="3"/>
    <x v="3"/>
    <d v="1899-12-30T16:26:00"/>
    <n v="23"/>
    <n v="51294"/>
    <s v="Hardware "/>
    <n v="35.56"/>
    <x v="0"/>
    <s v="Garden"/>
  </r>
  <r>
    <x v="3"/>
    <x v="3"/>
    <x v="3"/>
    <d v="1899-12-30T15:28:00"/>
    <n v="23"/>
    <n v="50890"/>
    <s v="Saucer, plants"/>
    <n v="141.35"/>
    <x v="7"/>
    <s v="Garden"/>
  </r>
  <r>
    <x v="3"/>
    <x v="3"/>
    <x v="3"/>
    <d v="1899-12-30T15:21:00"/>
    <n v="23"/>
    <n v="50841"/>
    <s v="Seeds, plants"/>
    <n v="66.95"/>
    <x v="0"/>
    <s v="Garden"/>
  </r>
  <r>
    <x v="6"/>
    <x v="3"/>
    <x v="3"/>
    <d v="1899-12-30T15:35:00"/>
    <n v="23"/>
    <n v="50932"/>
    <s v="Hardware"/>
    <n v="7.46"/>
    <x v="1"/>
    <s v="Garden"/>
  </r>
  <r>
    <x v="7"/>
    <x v="2"/>
    <x v="4"/>
    <d v="1899-12-30T11:01:00"/>
    <n v="22"/>
    <n v="26181"/>
    <s v="Tape"/>
    <n v="17.97"/>
    <x v="1"/>
    <s v="Garden"/>
  </r>
  <r>
    <x v="7"/>
    <x v="4"/>
    <x v="4"/>
    <d v="1899-12-30T11:25:00"/>
    <n v="22"/>
    <n v="30662"/>
    <s v="Candy Canes"/>
    <n v="24.98"/>
    <x v="1"/>
    <s v="Garden"/>
  </r>
  <r>
    <x v="8"/>
    <x v="4"/>
    <x v="4"/>
    <d v="1899-12-30T13:59:00"/>
    <n v="52"/>
    <n v="63812"/>
    <s v="Vitamin Water"/>
    <n v="2.14"/>
    <x v="0"/>
    <s v="SCO"/>
  </r>
  <r>
    <x v="8"/>
    <x v="4"/>
    <x v="4"/>
    <d v="1899-12-30T15:03:00"/>
    <n v="52"/>
    <n v="26154"/>
    <s v="Light bulbs"/>
    <n v="8.99"/>
    <x v="3"/>
    <s v="SCO"/>
  </r>
  <r>
    <x v="9"/>
    <x v="2"/>
    <x v="5"/>
    <d v="1899-12-30T10:35:00"/>
    <n v="23"/>
    <n v="56939"/>
    <s v="Tough Tote"/>
    <n v="27.88"/>
    <x v="3"/>
    <s v="Garden"/>
  </r>
  <r>
    <x v="3"/>
    <x v="5"/>
    <x v="5"/>
    <d v="1899-12-30T10:57:00"/>
    <n v="22"/>
    <n v="32569"/>
    <s v="Plants"/>
    <n v="81.88"/>
    <x v="8"/>
    <s v="Garden"/>
  </r>
  <r>
    <x v="3"/>
    <x v="5"/>
    <x v="5"/>
    <d v="1899-12-30T10:43:00"/>
    <n v="22"/>
    <n v="32437"/>
    <s v="Moulding"/>
    <n v="130.29"/>
    <x v="9"/>
    <s v="Garden"/>
  </r>
  <r>
    <x v="3"/>
    <x v="5"/>
    <x v="5"/>
    <d v="1899-12-30T11:24:00"/>
    <n v="22"/>
    <n v="32775"/>
    <s v="Seeds, plants"/>
    <n v="147.69"/>
    <x v="10"/>
    <s v="Garden"/>
  </r>
  <r>
    <x v="3"/>
    <x v="5"/>
    <x v="5"/>
    <d v="1899-12-30T12:06:00"/>
    <n v="23"/>
    <n v="58208"/>
    <s v="Bins, plants, cleaning"/>
    <n v="227.97"/>
    <x v="11"/>
    <s v="Garden"/>
  </r>
  <r>
    <x v="3"/>
    <x v="5"/>
    <x v="5"/>
    <d v="1899-12-30T13:57:00"/>
    <n v="23"/>
    <n v="57754"/>
    <s v="Plants"/>
    <n v="431.87"/>
    <x v="10"/>
    <s v="Garden"/>
  </r>
  <r>
    <x v="10"/>
    <x v="5"/>
    <x v="5"/>
    <d v="1899-12-30T12:31:00"/>
    <n v="22"/>
    <n v="33351"/>
    <s v="Garden items"/>
    <n v="23.88"/>
    <x v="12"/>
    <s v="Garden"/>
  </r>
  <r>
    <x v="10"/>
    <x v="5"/>
    <x v="5"/>
    <d v="1899-12-30T12:22:00"/>
    <n v="22"/>
    <n v="33252"/>
    <s v="Mop"/>
    <n v="9.9700000000000006"/>
    <x v="1"/>
    <s v="Garden"/>
  </r>
  <r>
    <x v="2"/>
    <x v="5"/>
    <x v="5"/>
    <d v="1899-12-30T09:16:00"/>
    <n v="61"/>
    <n v="28333"/>
    <s v="Garden items"/>
    <n v="12.98"/>
    <x v="1"/>
    <s v="SCO"/>
  </r>
  <r>
    <x v="10"/>
    <x v="5"/>
    <x v="5"/>
    <d v="1899-12-30T09:58:00"/>
    <n v="53"/>
    <n v="74053"/>
    <s v="Keys"/>
    <n v="27.98"/>
    <x v="5"/>
    <s v="SCO"/>
  </r>
  <r>
    <x v="10"/>
    <x v="5"/>
    <x v="5"/>
    <d v="1899-12-30T10:35:00"/>
    <n v="53"/>
    <n v="77452"/>
    <s v="Garden items"/>
    <n v="128.94"/>
    <x v="13"/>
    <s v="SCO"/>
  </r>
  <r>
    <x v="3"/>
    <x v="6"/>
    <x v="6"/>
    <d v="1899-12-30T13:31:00"/>
    <n v="52"/>
    <n v="33267"/>
    <s v="Cleaning supplies"/>
    <n v="85.88"/>
    <x v="2"/>
    <s v="SCO"/>
  </r>
  <r>
    <x v="6"/>
    <x v="6"/>
    <x v="6"/>
    <d v="1899-12-30T14:57:00"/>
    <n v="22"/>
    <n v="36602"/>
    <s v="Boxes"/>
    <n v="40.159999999999997"/>
    <x v="8"/>
    <s v="Garden"/>
  </r>
  <r>
    <x v="3"/>
    <x v="6"/>
    <x v="6"/>
    <d v="1899-12-30T15:21:00"/>
    <n v="22"/>
    <n v="36603"/>
    <s v="Plants, potting mix"/>
    <n v="163.69"/>
    <x v="14"/>
    <s v="Garden"/>
  </r>
  <r>
    <x v="10"/>
    <x v="6"/>
    <x v="6"/>
    <d v="1899-12-30T13:54:00"/>
    <n v="55"/>
    <n v="66625"/>
    <s v="Boxes"/>
    <n v="2.2799999999999998"/>
    <x v="4"/>
    <s v="SCO"/>
  </r>
  <r>
    <x v="11"/>
    <x v="6"/>
    <x v="6"/>
    <d v="1899-12-30T15:39:00"/>
    <n v="51"/>
    <n v="69099"/>
    <s v="Airwick"/>
    <n v="14.98"/>
    <x v="1"/>
    <s v="SCO"/>
  </r>
  <r>
    <x v="12"/>
    <x v="0"/>
    <x v="7"/>
    <d v="1899-12-30T15:23:00"/>
    <n v="23"/>
    <n v="66235"/>
    <s v="Drillbits"/>
    <n v="22.71"/>
    <x v="2"/>
    <s v="Garden"/>
  </r>
  <r>
    <x v="3"/>
    <x v="0"/>
    <x v="7"/>
    <d v="1899-12-30T14:15:00"/>
    <n v="52"/>
    <n v="37185"/>
    <s v="Plants"/>
    <n v="118.15"/>
    <x v="15"/>
    <s v="SCO"/>
  </r>
  <r>
    <x v="6"/>
    <x v="0"/>
    <x v="7"/>
    <d v="1899-12-30T14:32:00"/>
    <n v="52"/>
    <n v="37276"/>
    <s v="Hardware, plants"/>
    <n v="96.17"/>
    <x v="5"/>
    <s v="SCO"/>
  </r>
  <r>
    <x v="2"/>
    <x v="0"/>
    <x v="7"/>
    <d v="1899-12-30T11:01:00"/>
    <n v="52"/>
    <n v="36179"/>
    <s v="Capt"/>
    <n v="599"/>
    <x v="3"/>
    <s v="SCO"/>
  </r>
  <r>
    <x v="3"/>
    <x v="0"/>
    <x v="7"/>
    <d v="1899-12-30T14:58:00"/>
    <n v="52"/>
    <n v="37466"/>
    <s v="Cleaning, lights"/>
    <n v="18.420000000000002"/>
    <x v="0"/>
    <s v="SCO"/>
  </r>
  <r>
    <x v="3"/>
    <x v="0"/>
    <x v="7"/>
    <d v="1899-12-30T14:11:00"/>
    <n v="62"/>
    <n v="48025"/>
    <s v="Plumbing items"/>
    <n v="379"/>
    <x v="16"/>
    <s v="SCO"/>
  </r>
  <r>
    <x v="3"/>
    <x v="1"/>
    <x v="8"/>
    <d v="1899-12-30T10:01:00"/>
    <n v="22"/>
    <n v="41800"/>
    <s v="Plants, potting mix"/>
    <n v="107.62"/>
    <x v="17"/>
    <s v="Garden"/>
  </r>
  <r>
    <x v="13"/>
    <x v="1"/>
    <x v="8"/>
    <d v="1899-12-30T06:11:00"/>
    <n v="51"/>
    <n v="79122"/>
    <s v="Nails, bolts"/>
    <n v="11.8"/>
    <x v="1"/>
    <s v="SCO"/>
  </r>
  <r>
    <x v="6"/>
    <x v="1"/>
    <x v="8"/>
    <d v="1899-12-30T12:59:00"/>
    <n v="53"/>
    <n v="85372"/>
    <s v="Drillbits"/>
    <n v="15.94"/>
    <x v="1"/>
    <s v="SCO"/>
  </r>
  <r>
    <x v="8"/>
    <x v="1"/>
    <x v="8"/>
    <d v="1899-12-30T11:53:00"/>
    <n v="52"/>
    <n v="40775"/>
    <s v="Plumbing items"/>
    <n v="109.99"/>
    <x v="1"/>
    <s v="SCO"/>
  </r>
  <r>
    <x v="12"/>
    <x v="1"/>
    <x v="8"/>
    <d v="1899-12-30T10:16:00"/>
    <n v="54"/>
    <n v="87584"/>
    <s v="Tool box"/>
    <n v="234.47"/>
    <x v="3"/>
    <s v="SCO"/>
  </r>
  <r>
    <x v="14"/>
    <x v="2"/>
    <x v="9"/>
    <d v="1899-12-30T17:59:00"/>
    <n v="51"/>
    <n v="83228"/>
    <s v="Wallplates"/>
    <n v="1.64"/>
    <x v="0"/>
    <s v="SCO"/>
  </r>
  <r>
    <x v="14"/>
    <x v="2"/>
    <x v="9"/>
    <d v="1899-12-30T13:55:00"/>
    <n v="53"/>
    <n v="89382"/>
    <s v="Cleaning supplies"/>
    <n v="20.62"/>
    <x v="1"/>
    <s v="SCO"/>
  </r>
  <r>
    <x v="2"/>
    <x v="2"/>
    <x v="9"/>
    <d v="1899-12-30T11:55:00"/>
    <n v="52"/>
    <n v="44827"/>
    <s v="Towels"/>
    <n v="9.98"/>
    <x v="3"/>
    <s v="SCO"/>
  </r>
  <r>
    <x v="15"/>
    <x v="3"/>
    <x v="10"/>
    <d v="1899-12-30T15:39:00"/>
    <n v="23"/>
    <n v="77034"/>
    <s v="Tough Tote"/>
    <n v="139.66"/>
    <x v="18"/>
    <s v="Garden"/>
  </r>
  <r>
    <x v="1"/>
    <x v="3"/>
    <x v="10"/>
    <d v="1899-12-30T21:14:00"/>
    <n v="55"/>
    <n v="51293"/>
    <s v="Totes"/>
    <n v="86.82"/>
    <x v="3"/>
    <s v="SCO"/>
  </r>
  <r>
    <x v="15"/>
    <x v="3"/>
    <x v="10"/>
    <d v="1899-12-30T19:21:00"/>
    <n v="51"/>
    <n v="89154"/>
    <s v="Totes"/>
    <n v="65.11"/>
    <x v="3"/>
    <s v="SCO"/>
  </r>
  <r>
    <x v="15"/>
    <x v="3"/>
    <x v="10"/>
    <d v="1899-12-30T19:20:00"/>
    <n v="52"/>
    <n v="76301"/>
    <s v="Complex cart"/>
    <n v="857.08"/>
    <x v="1"/>
    <s v="SCO"/>
  </r>
  <r>
    <x v="8"/>
    <x v="3"/>
    <x v="10"/>
    <d v="1899-12-30T08:59:00"/>
    <n v="55"/>
    <n v="74470"/>
    <s v="Electrical"/>
    <n v="193.28"/>
    <x v="1"/>
    <s v="SCO"/>
  </r>
  <r>
    <x v="13"/>
    <x v="4"/>
    <x v="11"/>
    <d v="1899-12-30T18:53:00"/>
    <n v="55"/>
    <n v="98714"/>
    <s v="Quickbags"/>
    <n v="56.82"/>
    <x v="1"/>
    <s v="SCO"/>
  </r>
  <r>
    <x v="14"/>
    <x v="4"/>
    <x v="11"/>
    <d v="1899-12-30T16:34:00"/>
    <n v="52"/>
    <n v="78315"/>
    <s v="Mulch"/>
    <n v="44.13"/>
    <x v="1"/>
    <s v="SCO"/>
  </r>
  <r>
    <x v="8"/>
    <x v="4"/>
    <x v="11"/>
    <d v="1899-12-30T13:06:00"/>
    <n v="55"/>
    <n v="53612"/>
    <s v="Air filter"/>
    <n v="22.98"/>
    <x v="1"/>
    <s v="SCO"/>
  </r>
  <r>
    <x v="8"/>
    <x v="4"/>
    <x v="11"/>
    <d v="1899-12-30T11:41:00"/>
    <n v="62"/>
    <n v="77416"/>
    <s v="Magnette nutdriver set"/>
    <n v="37.97"/>
    <x v="1"/>
    <s v="SCO"/>
  </r>
  <r>
    <x v="8"/>
    <x v="4"/>
    <x v="11"/>
    <d v="1899-12-30T10:59:00"/>
    <n v="52"/>
    <n v="51201"/>
    <s v="Hardware"/>
    <n v="61.69"/>
    <x v="1"/>
    <s v="SCO"/>
  </r>
  <r>
    <x v="3"/>
    <x v="4"/>
    <x v="11"/>
    <d v="1899-12-30T07:21:00"/>
    <n v="51"/>
    <n v="51699"/>
    <s v="Markers, hardware"/>
    <n v="25.4"/>
    <x v="0"/>
    <s v="SCO"/>
  </r>
  <r>
    <x v="3"/>
    <x v="4"/>
    <x v="11"/>
    <d v="1899-12-30T06:19:00"/>
    <n v="55"/>
    <n v="95272"/>
    <s v="Blades"/>
    <n v="169.94"/>
    <x v="0"/>
    <s v="SCO"/>
  </r>
  <r>
    <x v="11"/>
    <x v="5"/>
    <x v="12"/>
    <d v="1899-12-30T11:15:00"/>
    <n v="22"/>
    <n v="48854"/>
    <s v="PVC"/>
    <n v="91.78"/>
    <x v="1"/>
    <s v="Garden"/>
  </r>
  <r>
    <x v="1"/>
    <x v="5"/>
    <x v="12"/>
    <d v="1899-12-30T21:35:00"/>
    <n v="54"/>
    <n v="10014"/>
    <s v="Totes"/>
    <n v="6.97"/>
    <x v="3"/>
    <s v="SCO"/>
  </r>
  <r>
    <x v="10"/>
    <x v="5"/>
    <x v="12"/>
    <d v="1899-12-30T11:39:00"/>
    <n v="54"/>
    <n v="8398"/>
    <s v="Multiple items"/>
    <n v="146.54"/>
    <x v="1"/>
    <s v="SCO"/>
  </r>
  <r>
    <x v="11"/>
    <x v="5"/>
    <x v="12"/>
    <d v="1899-12-30T09:18:00"/>
    <n v="52"/>
    <n v="56917"/>
    <s v="Ladder"/>
    <n v="75.989999999999995"/>
    <x v="1"/>
    <s v="SCO"/>
  </r>
  <r>
    <x v="11"/>
    <x v="5"/>
    <x v="12"/>
    <d v="1899-12-30T08:51:00"/>
    <n v="53"/>
    <n v="56243"/>
    <s v="PVC"/>
    <n v="3.28"/>
    <x v="12"/>
    <s v="SCO"/>
  </r>
  <r>
    <x v="9"/>
    <x v="6"/>
    <x v="13"/>
    <d v="1899-12-30T12:46:00"/>
    <n v="22"/>
    <n v="50785"/>
    <s v="Trash Can"/>
    <n v="24.97"/>
    <x v="3"/>
    <s v="Garden"/>
  </r>
  <r>
    <x v="10"/>
    <x v="6"/>
    <x v="13"/>
    <d v="1899-12-30T18:21:00"/>
    <n v="51"/>
    <n v="1035"/>
    <s v="Tarp"/>
    <n v="32.979999999999997"/>
    <x v="12"/>
    <s v="SCO"/>
  </r>
  <r>
    <x v="13"/>
    <x v="0"/>
    <x v="14"/>
    <d v="1899-12-30T11:56:00"/>
    <n v="22"/>
    <n v="52674"/>
    <s v="Shock wave"/>
    <n v="198.27"/>
    <x v="1"/>
    <s v="Garden"/>
  </r>
  <r>
    <x v="13"/>
    <x v="0"/>
    <x v="14"/>
    <d v="1899-12-30T11:58:00"/>
    <n v="22"/>
    <n v="52682"/>
    <s v="Screwdriver, hardware"/>
    <n v="340.16"/>
    <x v="1"/>
    <s v="Garden"/>
  </r>
  <r>
    <x v="13"/>
    <x v="0"/>
    <x v="14"/>
    <d v="1899-12-30T11:58:00"/>
    <n v="22"/>
    <n v="52682"/>
    <s v="Mulch"/>
    <n v="17.27"/>
    <x v="1"/>
    <s v="Garden"/>
  </r>
  <r>
    <x v="8"/>
    <x v="0"/>
    <x v="14"/>
    <d v="1899-12-30T10:21:00"/>
    <n v="61"/>
    <n v="36873"/>
    <s v="Wallplates"/>
    <n v="4.92"/>
    <x v="13"/>
    <s v="SCO"/>
  </r>
  <r>
    <x v="16"/>
    <x v="1"/>
    <x v="15"/>
    <d v="1899-12-30T11:22:00"/>
    <n v="22"/>
    <n v="54597"/>
    <s v="Seeds mix"/>
    <n v="70.709999999999994"/>
    <x v="1"/>
    <s v="Garden"/>
  </r>
  <r>
    <x v="3"/>
    <x v="1"/>
    <x v="15"/>
    <d v="1899-12-30T12:33:00"/>
    <n v="22"/>
    <n v="54803"/>
    <s v="Lightbulbs"/>
    <n v="19.75"/>
    <x v="12"/>
    <s v="Garden"/>
  </r>
  <r>
    <x v="14"/>
    <x v="1"/>
    <x v="15"/>
    <d v="1899-12-30T13:27:00"/>
    <n v="22"/>
    <n v="54591"/>
    <s v="Plumbing items"/>
    <n v="280.08"/>
    <x v="19"/>
    <s v="Gard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D312F-C107-C343-8979-AC69C1E5DFF2}" name="CountRec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33" firstHeaderRow="1" firstDataRow="1" firstDataCol="1"/>
  <pivotFields count="11">
    <pivotField axis="axisRow" showAll="0" sortType="descending">
      <items count="18">
        <item x="3"/>
        <item x="6"/>
        <item x="7"/>
        <item x="1"/>
        <item x="0"/>
        <item x="9"/>
        <item x="15"/>
        <item x="13"/>
        <item x="14"/>
        <item x="8"/>
        <item x="2"/>
        <item x="16"/>
        <item x="4"/>
        <item x="11"/>
        <item x="10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5" showAll="0"/>
    <pivotField showAll="0"/>
    <pivotField showAll="0"/>
    <pivotField showAll="0"/>
    <pivotField dataField="1" numFmtId="164"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0"/>
  </rowFields>
  <rowItems count="18">
    <i>
      <x/>
    </i>
    <i>
      <x v="9"/>
    </i>
    <i>
      <x v="14"/>
    </i>
    <i>
      <x v="10"/>
    </i>
    <i>
      <x v="7"/>
    </i>
    <i>
      <x v="1"/>
    </i>
    <i>
      <x v="13"/>
    </i>
    <i>
      <x v="3"/>
    </i>
    <i>
      <x v="8"/>
    </i>
    <i>
      <x v="6"/>
    </i>
    <i>
      <x v="15"/>
    </i>
    <i>
      <x v="2"/>
    </i>
    <i>
      <x v="16"/>
    </i>
    <i>
      <x v="5"/>
    </i>
    <i>
      <x v="11"/>
    </i>
    <i>
      <x v="4"/>
    </i>
    <i>
      <x v="12"/>
    </i>
    <i t="grand">
      <x/>
    </i>
  </rowItems>
  <colItems count="1">
    <i/>
  </colItems>
  <dataFields count="1">
    <dataField name="Count of Recovery $" fld="7" subtotal="countNums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A0D46-7163-324C-BFF2-953EF05651B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:I11" firstHeaderRow="1" firstDataRow="1" firstDataCol="1"/>
  <pivotFields count="11"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5" showAll="0"/>
    <pivotField showAll="0"/>
    <pivotField showAll="0"/>
    <pivotField showAll="0"/>
    <pivotField dataField="1" numFmtId="16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covery $" fld="7" subtotal="count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858EE-2CD1-C244-B907-F391FD6B775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4" firstHeaderRow="0" firstDataRow="1" firstDataCol="0"/>
  <pivotFields count="11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5" showAll="0"/>
    <pivotField showAll="0"/>
    <pivotField showAll="0"/>
    <pivotField showAll="0"/>
    <pivotField dataField="1" numFmtId="16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covery $" fld="7" baseField="0" baseItem="0" numFmtId="164"/>
    <dataField name="# of Recoveries" fld="7" subtotal="countNums" baseField="0" baseItem="0" numFmtId="2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B01BC-1FCB-A640-A641-CEECB11D798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1">
    <pivotField axis="axisRow" showAll="0" measureFilter="1" sortType="descending">
      <items count="18">
        <item x="3"/>
        <item x="6"/>
        <item x="7"/>
        <item x="1"/>
        <item x="0"/>
        <item x="9"/>
        <item x="15"/>
        <item x="13"/>
        <item x="14"/>
        <item x="8"/>
        <item x="2"/>
        <item x="16"/>
        <item x="4"/>
        <item x="11"/>
        <item x="10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5" showAll="0"/>
    <pivotField showAll="0"/>
    <pivotField showAll="0"/>
    <pivotField showAll="0"/>
    <pivotField dataField="1" numFmtId="16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0"/>
  </rowFields>
  <rowItems count="8">
    <i>
      <x/>
    </i>
    <i>
      <x v="6"/>
    </i>
    <i>
      <x v="10"/>
    </i>
    <i>
      <x v="7"/>
    </i>
    <i>
      <x v="9"/>
    </i>
    <i>
      <x v="14"/>
    </i>
    <i>
      <x v="8"/>
    </i>
    <i t="grand">
      <x/>
    </i>
  </rowItems>
  <colItems count="1">
    <i/>
  </colItems>
  <dataFields count="1">
    <dataField name="Sum of Recovery $" fld="7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01B8D-315D-1545-A078-7741CACE920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4:I21" firstHeaderRow="1" firstDataRow="1" firstDataCol="1"/>
  <pivotFields count="11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5" showAll="0"/>
    <pivotField showAll="0"/>
    <pivotField showAll="0"/>
    <pivotField showAll="0"/>
    <pivotField dataField="1" numFmtId="164" showAll="0"/>
    <pivotField axis="axisRow" showAll="0">
      <items count="25">
        <item x="8"/>
        <item h="1" x="9"/>
        <item h="1" x="10"/>
        <item h="1" x="14"/>
        <item h="1" x="17"/>
        <item h="1" x="15"/>
        <item h="1" x="11"/>
        <item x="1"/>
        <item m="1" x="20"/>
        <item h="1" x="5"/>
        <item h="1" m="1" x="22"/>
        <item h="1" x="19"/>
        <item h="1" x="2"/>
        <item h="1" x="6"/>
        <item h="1" x="13"/>
        <item h="1" x="7"/>
        <item x="12"/>
        <item x="3"/>
        <item m="1" x="21"/>
        <item h="1" x="18"/>
        <item h="1" x="16"/>
        <item x="4"/>
        <item x="0"/>
        <item m="1" x="23"/>
        <item t="default"/>
      </items>
    </pivotField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8"/>
  </rowFields>
  <rowItems count="7">
    <i>
      <x/>
    </i>
    <i>
      <x v="7"/>
    </i>
    <i>
      <x v="16"/>
    </i>
    <i>
      <x v="17"/>
    </i>
    <i>
      <x v="21"/>
    </i>
    <i>
      <x v="22"/>
    </i>
    <i t="grand">
      <x/>
    </i>
  </rowItems>
  <colItems count="1">
    <i/>
  </colItems>
  <dataFields count="1">
    <dataField name="Count of Recovery $" fld="7" subtotal="count" baseField="0" baseItem="0"/>
  </dataFields>
  <chartFormats count="7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83587-2FCA-8D4E-999F-D647B66117C1}" name="RecLog" displayName="RecLog" ref="A3:J82" totalsRowShown="0" headerRowDxfId="4">
  <autoFilter ref="A3:J82" xr:uid="{F4E83587-2FCA-8D4E-999F-D647B66117C1}"/>
  <sortState xmlns:xlrd2="http://schemas.microsoft.com/office/spreadsheetml/2017/richdata2" ref="A4:J82">
    <sortCondition ref="C3:C82"/>
  </sortState>
  <tableColumns count="10">
    <tableColumn id="1" xr3:uid="{C55968F2-1089-5446-8420-BA5D05DD4473}" name="Cashier Name"/>
    <tableColumn id="2" xr3:uid="{74E52B86-306E-8E4F-9F02-8F9A8B1A4945}" name="Day of Week"/>
    <tableColumn id="3" xr3:uid="{43FA34E2-457E-1942-9345-76954F27474D}" name="Date" dataDxfId="3"/>
    <tableColumn id="4" xr3:uid="{97E549D0-CCBF-6840-BFD8-943F3FF1245F}" name="Time" dataDxfId="2"/>
    <tableColumn id="5" xr3:uid="{C4FCCAE2-56C4-6942-83E0-24869FA66AEB}" name="Register #"/>
    <tableColumn id="6" xr3:uid="{EF11FDF6-B3B1-5141-A2A2-2EE9EA7E46A9}" name="Transaction #"/>
    <tableColumn id="7" xr3:uid="{2DFBE6B0-F23E-2B44-BB43-949BE6A29F70}" name="Product Description"/>
    <tableColumn id="8" xr3:uid="{68BB8751-EB85-1F4C-89CE-FF4B044617F7}" name="Recovery $" dataDxfId="1"/>
    <tableColumn id="9" xr3:uid="{9B54BDFE-2FD8-A449-8892-572A82E745B2}" name="Cashier Behavior"/>
    <tableColumn id="10" xr3:uid="{889C9664-7B63-5C4F-805E-B4AF90CF92A8}" name="Location"/>
  </tableColumns>
  <tableStyleInfo name="TableStyleMedium10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E3CF6-F0A3-A84E-9A01-0D92B043A24F}" name="Table1" displayName="Table1" ref="B2:B20" totalsRowShown="0">
  <autoFilter ref="B2:B20" xr:uid="{366E3CF6-F0A3-A84E-9A01-0D92B043A24F}"/>
  <sortState xmlns:xlrd2="http://schemas.microsoft.com/office/spreadsheetml/2017/richdata2" ref="B3:B19">
    <sortCondition ref="B2:B19"/>
  </sortState>
  <tableColumns count="1">
    <tableColumn id="1" xr3:uid="{D98740DF-C192-7847-AD89-3FBC63CBD3A7}" name="Cashier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F3BCC-B03D-E240-B081-FC936C5142BA}" name="Table2" displayName="Table2" ref="D2:D4" totalsRowShown="0">
  <autoFilter ref="D2:D4" xr:uid="{337F3BCC-B03D-E240-B081-FC936C5142BA}"/>
  <sortState xmlns:xlrd2="http://schemas.microsoft.com/office/spreadsheetml/2017/richdata2" ref="D3:D4">
    <sortCondition ref="D2:D4"/>
  </sortState>
  <tableColumns count="1">
    <tableColumn id="1" xr3:uid="{E6C29817-892A-B140-A176-BEB1D83D4BC3}" name="Location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6BAB64-3F00-EA40-9DEE-072F34BDDF95}" name="Table4" displayName="Table4" ref="F2:F9" totalsRowShown="0">
  <autoFilter ref="F2:F9" xr:uid="{A66BAB64-3F00-EA40-9DEE-072F34BDDF95}"/>
  <tableColumns count="1">
    <tableColumn id="1" xr3:uid="{EEA57AF7-1B95-2C4A-B4A3-EDE06D0B0114}" name="Day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EC5B-B152-E146-9777-34B5078C9D5A}">
  <sheetPr>
    <tabColor rgb="FFFF9300"/>
  </sheetPr>
  <dimension ref="A46:B50"/>
  <sheetViews>
    <sheetView tabSelected="1" workbookViewId="0">
      <selection activeCell="C51" sqref="C51"/>
    </sheetView>
  </sheetViews>
  <sheetFormatPr baseColWidth="10" defaultRowHeight="16" x14ac:dyDescent="0.2"/>
  <cols>
    <col min="1" max="1" width="31.5" customWidth="1"/>
    <col min="2" max="2" width="13.6640625" customWidth="1"/>
  </cols>
  <sheetData>
    <row r="46" spans="1:2" x14ac:dyDescent="0.2">
      <c r="A46" s="7" t="s">
        <v>121</v>
      </c>
      <c r="B46" s="10">
        <f>GETPIVOTDATA("Recovery $",Pivots!$A$3)</f>
        <v>7424.5550000000003</v>
      </c>
    </row>
    <row r="47" spans="1:2" x14ac:dyDescent="0.2">
      <c r="A47" s="7" t="s">
        <v>126</v>
      </c>
      <c r="B47" s="8">
        <f>COUNTA(RecLog[Cashier Name])</f>
        <v>79</v>
      </c>
    </row>
    <row r="48" spans="1:2" x14ac:dyDescent="0.2">
      <c r="A48" s="7" t="s">
        <v>127</v>
      </c>
      <c r="B48" s="9" t="str">
        <f>_xlfn.XLOOKUP(Dashboard!B49, Recovery, Cashier_Name)</f>
        <v>Elvalina</v>
      </c>
    </row>
    <row r="49" spans="1:2" x14ac:dyDescent="0.2">
      <c r="A49" s="7" t="s">
        <v>124</v>
      </c>
      <c r="B49" s="10">
        <f>MAX(RecLog[Recovery $])</f>
        <v>857.08</v>
      </c>
    </row>
    <row r="50" spans="1:2" x14ac:dyDescent="0.2">
      <c r="A50" s="7" t="s">
        <v>125</v>
      </c>
      <c r="B50" s="9" t="str">
        <f>INDEX(Pivots!A16:A32,MATCH(MAX(Pivots!B16:B32),Pivots!B16:B32,0))</f>
        <v>Alan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0A14-A7B0-BF4A-B5D1-83A1B683D4D5}">
  <sheetPr>
    <tabColor theme="5" tint="0.59999389629810485"/>
  </sheetPr>
  <dimension ref="A1:J82"/>
  <sheetViews>
    <sheetView topLeftCell="A47" workbookViewId="0">
      <selection activeCell="A3" sqref="A3:J82"/>
    </sheetView>
  </sheetViews>
  <sheetFormatPr baseColWidth="10" defaultRowHeight="16" x14ac:dyDescent="0.2"/>
  <cols>
    <col min="1" max="1" width="17.1640625" customWidth="1"/>
    <col min="2" max="2" width="14.1640625" customWidth="1"/>
    <col min="3" max="3" width="13" customWidth="1"/>
    <col min="4" max="4" width="14.33203125" customWidth="1"/>
    <col min="5" max="5" width="12" customWidth="1"/>
    <col min="6" max="6" width="16" customWidth="1"/>
    <col min="7" max="7" width="50.83203125" customWidth="1"/>
    <col min="8" max="8" width="14" customWidth="1"/>
    <col min="9" max="9" width="40" customWidth="1"/>
    <col min="10" max="10" width="12.83203125" customWidth="1"/>
  </cols>
  <sheetData>
    <row r="1" spans="1:10" x14ac:dyDescent="0.2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4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0" x14ac:dyDescent="0.2">
      <c r="A4" t="s">
        <v>5</v>
      </c>
      <c r="B4" t="s">
        <v>32</v>
      </c>
      <c r="C4" s="1">
        <v>45964</v>
      </c>
      <c r="D4" s="3">
        <v>0.49027777777777776</v>
      </c>
      <c r="E4">
        <v>23</v>
      </c>
      <c r="F4">
        <v>38556</v>
      </c>
      <c r="G4" t="s">
        <v>33</v>
      </c>
      <c r="H4" s="2">
        <v>7.88</v>
      </c>
      <c r="I4" t="s">
        <v>34</v>
      </c>
      <c r="J4" t="s">
        <v>20</v>
      </c>
    </row>
    <row r="5" spans="1:10" x14ac:dyDescent="0.2">
      <c r="A5" t="s">
        <v>8</v>
      </c>
      <c r="B5" t="s">
        <v>36</v>
      </c>
      <c r="C5" s="1">
        <v>45965</v>
      </c>
      <c r="D5" s="3">
        <v>0.50416666666666665</v>
      </c>
      <c r="E5">
        <v>53</v>
      </c>
      <c r="F5">
        <v>59864</v>
      </c>
      <c r="G5" t="s">
        <v>93</v>
      </c>
      <c r="H5" s="2">
        <v>130</v>
      </c>
      <c r="I5" t="s">
        <v>69</v>
      </c>
      <c r="J5" t="s">
        <v>19</v>
      </c>
    </row>
    <row r="6" spans="1:10" x14ac:dyDescent="0.2">
      <c r="A6" t="s">
        <v>4</v>
      </c>
      <c r="B6" t="s">
        <v>36</v>
      </c>
      <c r="C6" s="1">
        <v>45965</v>
      </c>
      <c r="D6" s="3">
        <v>0.58958333333333335</v>
      </c>
      <c r="E6">
        <v>55</v>
      </c>
      <c r="F6">
        <v>56311</v>
      </c>
      <c r="G6" t="s">
        <v>94</v>
      </c>
      <c r="H6" s="2">
        <v>242</v>
      </c>
      <c r="I6" t="s">
        <v>69</v>
      </c>
      <c r="J6" t="s">
        <v>19</v>
      </c>
    </row>
    <row r="7" spans="1:10" x14ac:dyDescent="0.2">
      <c r="A7" t="s">
        <v>1</v>
      </c>
      <c r="B7" t="s">
        <v>36</v>
      </c>
      <c r="C7" s="1">
        <v>45965</v>
      </c>
      <c r="D7" s="3">
        <v>0.47361111111111109</v>
      </c>
      <c r="E7">
        <v>52</v>
      </c>
      <c r="F7">
        <v>12691</v>
      </c>
      <c r="G7" t="s">
        <v>95</v>
      </c>
      <c r="H7" s="2">
        <v>25</v>
      </c>
      <c r="I7" t="s">
        <v>34</v>
      </c>
      <c r="J7" t="s">
        <v>19</v>
      </c>
    </row>
    <row r="8" spans="1:10" x14ac:dyDescent="0.2">
      <c r="A8" t="s">
        <v>1</v>
      </c>
      <c r="B8" t="s">
        <v>36</v>
      </c>
      <c r="C8" s="1">
        <v>45965</v>
      </c>
      <c r="D8" s="3">
        <v>0.64444444444444449</v>
      </c>
      <c r="E8">
        <v>51</v>
      </c>
      <c r="F8">
        <v>47525</v>
      </c>
      <c r="G8" t="s">
        <v>92</v>
      </c>
      <c r="H8" s="2">
        <v>643.54</v>
      </c>
      <c r="I8" t="s">
        <v>49</v>
      </c>
      <c r="J8" t="s">
        <v>19</v>
      </c>
    </row>
    <row r="9" spans="1:10" x14ac:dyDescent="0.2">
      <c r="A9" t="s">
        <v>1</v>
      </c>
      <c r="B9" t="s">
        <v>36</v>
      </c>
      <c r="C9" s="1">
        <v>45965</v>
      </c>
      <c r="D9" s="3">
        <v>0.65277777777777779</v>
      </c>
      <c r="E9">
        <v>51</v>
      </c>
      <c r="F9">
        <v>47608</v>
      </c>
      <c r="G9" t="s">
        <v>46</v>
      </c>
      <c r="H9" s="2">
        <v>183.74</v>
      </c>
      <c r="I9" t="s">
        <v>69</v>
      </c>
      <c r="J9" t="s">
        <v>19</v>
      </c>
    </row>
    <row r="10" spans="1:10" x14ac:dyDescent="0.2">
      <c r="A10" t="s">
        <v>10</v>
      </c>
      <c r="B10" t="s">
        <v>36</v>
      </c>
      <c r="C10" s="1">
        <v>45965</v>
      </c>
      <c r="D10" s="3">
        <v>0.39444444444444443</v>
      </c>
      <c r="E10">
        <v>52</v>
      </c>
      <c r="F10">
        <v>15512</v>
      </c>
      <c r="G10" t="s">
        <v>96</v>
      </c>
      <c r="H10" s="2">
        <v>66</v>
      </c>
      <c r="I10" t="s">
        <v>43</v>
      </c>
      <c r="J10" t="s">
        <v>19</v>
      </c>
    </row>
    <row r="11" spans="1:10" x14ac:dyDescent="0.2">
      <c r="A11" t="s">
        <v>8</v>
      </c>
      <c r="B11" t="s">
        <v>37</v>
      </c>
      <c r="C11" s="1">
        <v>45966</v>
      </c>
      <c r="D11" s="3">
        <v>0.44513888888888886</v>
      </c>
      <c r="E11">
        <v>52</v>
      </c>
      <c r="F11">
        <v>16908</v>
      </c>
      <c r="G11" t="s">
        <v>92</v>
      </c>
      <c r="H11" s="2">
        <v>23.43</v>
      </c>
      <c r="I11" t="s">
        <v>97</v>
      </c>
      <c r="J11" t="s">
        <v>19</v>
      </c>
    </row>
    <row r="12" spans="1:10" x14ac:dyDescent="0.2">
      <c r="A12" t="s">
        <v>9</v>
      </c>
      <c r="B12" t="s">
        <v>37</v>
      </c>
      <c r="C12" s="1">
        <v>45966</v>
      </c>
      <c r="D12" s="3">
        <v>0.12638888888888888</v>
      </c>
      <c r="E12">
        <v>54</v>
      </c>
      <c r="F12">
        <v>81676</v>
      </c>
      <c r="G12" t="s">
        <v>46</v>
      </c>
      <c r="H12" s="2">
        <v>63.97</v>
      </c>
      <c r="I12" t="s">
        <v>43</v>
      </c>
      <c r="J12" t="s">
        <v>19</v>
      </c>
    </row>
    <row r="13" spans="1:10" x14ac:dyDescent="0.2">
      <c r="A13" t="s">
        <v>9</v>
      </c>
      <c r="B13" t="s">
        <v>37</v>
      </c>
      <c r="C13" s="1">
        <v>45966</v>
      </c>
      <c r="D13" s="3">
        <v>0.32291666666666669</v>
      </c>
      <c r="E13">
        <v>61</v>
      </c>
      <c r="F13">
        <v>18145</v>
      </c>
      <c r="G13" t="s">
        <v>91</v>
      </c>
      <c r="H13" s="2">
        <v>1.86</v>
      </c>
      <c r="I13" t="s">
        <v>69</v>
      </c>
      <c r="J13" t="s">
        <v>19</v>
      </c>
    </row>
    <row r="14" spans="1:10" x14ac:dyDescent="0.2">
      <c r="A14" t="s">
        <v>1</v>
      </c>
      <c r="B14" t="s">
        <v>37</v>
      </c>
      <c r="C14" s="1">
        <v>45966</v>
      </c>
      <c r="D14" s="3">
        <v>0.45555555555555555</v>
      </c>
      <c r="E14">
        <v>23</v>
      </c>
      <c r="F14">
        <v>45759</v>
      </c>
      <c r="G14" t="s">
        <v>87</v>
      </c>
      <c r="H14" s="2">
        <v>121.87</v>
      </c>
      <c r="I14" t="s">
        <v>67</v>
      </c>
      <c r="J14" t="s">
        <v>20</v>
      </c>
    </row>
    <row r="15" spans="1:10" x14ac:dyDescent="0.2">
      <c r="A15" t="s">
        <v>1</v>
      </c>
      <c r="B15" t="s">
        <v>37</v>
      </c>
      <c r="C15" s="1">
        <v>45966</v>
      </c>
      <c r="D15" s="3">
        <v>0.43958333333333333</v>
      </c>
      <c r="E15">
        <v>23</v>
      </c>
      <c r="F15">
        <v>45601</v>
      </c>
      <c r="G15" t="s">
        <v>85</v>
      </c>
      <c r="H15" s="2">
        <v>46.115000000000002</v>
      </c>
      <c r="I15" t="s">
        <v>34</v>
      </c>
      <c r="J15" t="s">
        <v>20</v>
      </c>
    </row>
    <row r="16" spans="1:10" x14ac:dyDescent="0.2">
      <c r="A16" t="s">
        <v>4</v>
      </c>
      <c r="B16" t="s">
        <v>38</v>
      </c>
      <c r="C16" s="1">
        <v>45967</v>
      </c>
      <c r="D16" s="3">
        <v>0.52500000000000002</v>
      </c>
      <c r="E16">
        <v>51</v>
      </c>
      <c r="F16">
        <v>55718</v>
      </c>
      <c r="G16" t="s">
        <v>90</v>
      </c>
      <c r="H16" s="2">
        <v>24</v>
      </c>
      <c r="I16" t="s">
        <v>69</v>
      </c>
      <c r="J16" t="s">
        <v>19</v>
      </c>
    </row>
    <row r="17" spans="1:10" x14ac:dyDescent="0.2">
      <c r="A17" t="s">
        <v>4</v>
      </c>
      <c r="B17" t="s">
        <v>38</v>
      </c>
      <c r="C17" s="1">
        <v>45967</v>
      </c>
      <c r="D17" s="3">
        <v>0.57013888888888886</v>
      </c>
      <c r="E17">
        <v>51</v>
      </c>
      <c r="F17">
        <v>21551</v>
      </c>
      <c r="G17" t="s">
        <v>88</v>
      </c>
      <c r="H17" s="2">
        <v>89.39</v>
      </c>
      <c r="I17" t="s">
        <v>98</v>
      </c>
      <c r="J17" t="s">
        <v>19</v>
      </c>
    </row>
    <row r="18" spans="1:10" x14ac:dyDescent="0.2">
      <c r="A18" t="s">
        <v>1</v>
      </c>
      <c r="B18" t="s">
        <v>38</v>
      </c>
      <c r="C18" s="1">
        <v>45967</v>
      </c>
      <c r="D18" s="3">
        <v>0.66527777777777775</v>
      </c>
      <c r="E18">
        <v>23</v>
      </c>
      <c r="F18">
        <v>51070</v>
      </c>
      <c r="G18" t="s">
        <v>89</v>
      </c>
      <c r="H18" s="2">
        <v>228.36</v>
      </c>
      <c r="I18" t="s">
        <v>34</v>
      </c>
      <c r="J18" t="s">
        <v>20</v>
      </c>
    </row>
    <row r="19" spans="1:10" x14ac:dyDescent="0.2">
      <c r="A19" t="s">
        <v>1</v>
      </c>
      <c r="B19" t="s">
        <v>38</v>
      </c>
      <c r="C19" s="1">
        <v>45967</v>
      </c>
      <c r="D19" s="3">
        <v>0.68472222222222223</v>
      </c>
      <c r="E19">
        <v>23</v>
      </c>
      <c r="F19">
        <v>51294</v>
      </c>
      <c r="G19" t="s">
        <v>88</v>
      </c>
      <c r="H19" s="2">
        <v>35.56</v>
      </c>
      <c r="I19" t="s">
        <v>34</v>
      </c>
      <c r="J19" t="s">
        <v>20</v>
      </c>
    </row>
    <row r="20" spans="1:10" x14ac:dyDescent="0.2">
      <c r="A20" t="s">
        <v>1</v>
      </c>
      <c r="B20" t="s">
        <v>38</v>
      </c>
      <c r="C20" s="1">
        <v>45967</v>
      </c>
      <c r="D20" s="3">
        <v>0.64444444444444449</v>
      </c>
      <c r="E20">
        <v>23</v>
      </c>
      <c r="F20">
        <v>50890</v>
      </c>
      <c r="G20" t="s">
        <v>86</v>
      </c>
      <c r="H20" s="2">
        <v>141.35</v>
      </c>
      <c r="I20" t="s">
        <v>100</v>
      </c>
      <c r="J20" t="s">
        <v>20</v>
      </c>
    </row>
    <row r="21" spans="1:10" x14ac:dyDescent="0.2">
      <c r="A21" t="s">
        <v>1</v>
      </c>
      <c r="B21" t="s">
        <v>38</v>
      </c>
      <c r="C21" s="1">
        <v>45967</v>
      </c>
      <c r="D21" s="3">
        <v>0.63958333333333328</v>
      </c>
      <c r="E21">
        <v>23</v>
      </c>
      <c r="F21">
        <v>50841</v>
      </c>
      <c r="G21" t="s">
        <v>50</v>
      </c>
      <c r="H21" s="2">
        <v>66.95</v>
      </c>
      <c r="I21" t="s">
        <v>34</v>
      </c>
      <c r="J21" t="s">
        <v>20</v>
      </c>
    </row>
    <row r="22" spans="1:10" x14ac:dyDescent="0.2">
      <c r="A22" t="s">
        <v>15</v>
      </c>
      <c r="B22" t="s">
        <v>38</v>
      </c>
      <c r="C22" s="1">
        <v>45967</v>
      </c>
      <c r="D22" s="3">
        <v>0.64930555555555558</v>
      </c>
      <c r="E22">
        <v>23</v>
      </c>
      <c r="F22">
        <v>50932</v>
      </c>
      <c r="G22" t="s">
        <v>84</v>
      </c>
      <c r="H22" s="2">
        <v>7.46</v>
      </c>
      <c r="I22" t="s">
        <v>69</v>
      </c>
      <c r="J22" t="s">
        <v>20</v>
      </c>
    </row>
    <row r="23" spans="1:10" x14ac:dyDescent="0.2">
      <c r="A23" t="s">
        <v>2</v>
      </c>
      <c r="B23" t="s">
        <v>37</v>
      </c>
      <c r="C23" s="1">
        <v>45968</v>
      </c>
      <c r="D23" s="3">
        <v>0.45902777777777776</v>
      </c>
      <c r="E23">
        <v>22</v>
      </c>
      <c r="F23">
        <v>26181</v>
      </c>
      <c r="G23" t="s">
        <v>72</v>
      </c>
      <c r="H23" s="2">
        <v>17.97</v>
      </c>
      <c r="I23" t="s">
        <v>69</v>
      </c>
      <c r="J23" t="s">
        <v>20</v>
      </c>
    </row>
    <row r="24" spans="1:10" x14ac:dyDescent="0.2">
      <c r="A24" t="s">
        <v>2</v>
      </c>
      <c r="B24" t="s">
        <v>39</v>
      </c>
      <c r="C24" s="1">
        <v>45968</v>
      </c>
      <c r="D24" s="3">
        <v>0.47569444444444442</v>
      </c>
      <c r="E24">
        <v>22</v>
      </c>
      <c r="F24">
        <v>30662</v>
      </c>
      <c r="G24" t="s">
        <v>73</v>
      </c>
      <c r="H24" s="2">
        <v>24.98</v>
      </c>
      <c r="I24" t="s">
        <v>69</v>
      </c>
      <c r="J24" t="s">
        <v>20</v>
      </c>
    </row>
    <row r="25" spans="1:10" x14ac:dyDescent="0.2">
      <c r="A25" t="s">
        <v>3</v>
      </c>
      <c r="B25" t="s">
        <v>39</v>
      </c>
      <c r="C25" s="1">
        <v>45968</v>
      </c>
      <c r="D25" s="3">
        <v>0.58263888888888893</v>
      </c>
      <c r="E25">
        <v>52</v>
      </c>
      <c r="F25">
        <v>63812</v>
      </c>
      <c r="G25" t="s">
        <v>83</v>
      </c>
      <c r="H25" s="2">
        <v>2.14</v>
      </c>
      <c r="I25" t="s">
        <v>34</v>
      </c>
      <c r="J25" t="s">
        <v>19</v>
      </c>
    </row>
    <row r="26" spans="1:10" x14ac:dyDescent="0.2">
      <c r="A26" t="s">
        <v>3</v>
      </c>
      <c r="B26" t="s">
        <v>39</v>
      </c>
      <c r="C26" s="1">
        <v>45968</v>
      </c>
      <c r="D26" s="3">
        <v>0.62708333333333333</v>
      </c>
      <c r="E26">
        <v>52</v>
      </c>
      <c r="F26">
        <v>26154</v>
      </c>
      <c r="G26" t="s">
        <v>82</v>
      </c>
      <c r="H26" s="2">
        <v>8.99</v>
      </c>
      <c r="I26" t="s">
        <v>43</v>
      </c>
      <c r="J26" t="s">
        <v>19</v>
      </c>
    </row>
    <row r="27" spans="1:10" x14ac:dyDescent="0.2">
      <c r="A27" t="s">
        <v>6</v>
      </c>
      <c r="B27" t="s">
        <v>37</v>
      </c>
      <c r="C27" s="1">
        <v>45969</v>
      </c>
      <c r="D27" s="3">
        <v>0.44097222222222221</v>
      </c>
      <c r="E27">
        <v>23</v>
      </c>
      <c r="F27">
        <v>56939</v>
      </c>
      <c r="G27" t="s">
        <v>42</v>
      </c>
      <c r="H27" s="2">
        <v>27.88</v>
      </c>
      <c r="I27" t="s">
        <v>43</v>
      </c>
      <c r="J27" t="s">
        <v>20</v>
      </c>
    </row>
    <row r="28" spans="1:10" x14ac:dyDescent="0.2">
      <c r="A28" t="s">
        <v>1</v>
      </c>
      <c r="B28" t="s">
        <v>40</v>
      </c>
      <c r="C28" s="1">
        <v>45969</v>
      </c>
      <c r="D28" s="3">
        <v>0.45624999999999999</v>
      </c>
      <c r="E28">
        <v>22</v>
      </c>
      <c r="F28">
        <v>32569</v>
      </c>
      <c r="G28" t="s">
        <v>44</v>
      </c>
      <c r="H28" s="2">
        <v>81.88</v>
      </c>
      <c r="I28" t="s">
        <v>45</v>
      </c>
      <c r="J28" t="s">
        <v>20</v>
      </c>
    </row>
    <row r="29" spans="1:10" x14ac:dyDescent="0.2">
      <c r="A29" t="s">
        <v>1</v>
      </c>
      <c r="B29" t="s">
        <v>40</v>
      </c>
      <c r="C29" s="1">
        <v>45969</v>
      </c>
      <c r="D29" s="3">
        <v>0.4465277777777778</v>
      </c>
      <c r="E29">
        <v>22</v>
      </c>
      <c r="F29">
        <v>32437</v>
      </c>
      <c r="G29" t="s">
        <v>46</v>
      </c>
      <c r="H29" s="2">
        <v>130.29</v>
      </c>
      <c r="I29" t="s">
        <v>47</v>
      </c>
      <c r="J29" t="s">
        <v>20</v>
      </c>
    </row>
    <row r="30" spans="1:10" x14ac:dyDescent="0.2">
      <c r="A30" t="s">
        <v>1</v>
      </c>
      <c r="B30" t="s">
        <v>40</v>
      </c>
      <c r="C30" s="1">
        <v>45969</v>
      </c>
      <c r="D30" s="3">
        <v>0.47499999999999998</v>
      </c>
      <c r="E30">
        <v>22</v>
      </c>
      <c r="F30">
        <v>32775</v>
      </c>
      <c r="G30" t="s">
        <v>50</v>
      </c>
      <c r="H30" s="2">
        <v>147.69</v>
      </c>
      <c r="I30" t="s">
        <v>51</v>
      </c>
      <c r="J30" t="s">
        <v>20</v>
      </c>
    </row>
    <row r="31" spans="1:10" x14ac:dyDescent="0.2">
      <c r="A31" t="s">
        <v>1</v>
      </c>
      <c r="B31" t="s">
        <v>40</v>
      </c>
      <c r="C31" s="1">
        <v>45969</v>
      </c>
      <c r="D31" s="3">
        <v>0.50416666666666665</v>
      </c>
      <c r="E31">
        <v>23</v>
      </c>
      <c r="F31">
        <v>58208</v>
      </c>
      <c r="G31" t="s">
        <v>52</v>
      </c>
      <c r="H31" s="2">
        <v>227.97</v>
      </c>
      <c r="I31" t="s">
        <v>53</v>
      </c>
      <c r="J31" t="s">
        <v>20</v>
      </c>
    </row>
    <row r="32" spans="1:10" x14ac:dyDescent="0.2">
      <c r="A32" t="s">
        <v>1</v>
      </c>
      <c r="B32" t="s">
        <v>40</v>
      </c>
      <c r="C32" s="1">
        <v>45969</v>
      </c>
      <c r="D32" s="3">
        <v>0.58125000000000004</v>
      </c>
      <c r="E32">
        <v>23</v>
      </c>
      <c r="F32">
        <v>57754</v>
      </c>
      <c r="G32" t="s">
        <v>44</v>
      </c>
      <c r="H32" s="2">
        <v>431.87</v>
      </c>
      <c r="I32" t="s">
        <v>51</v>
      </c>
      <c r="J32" t="s">
        <v>20</v>
      </c>
    </row>
    <row r="33" spans="1:10" x14ac:dyDescent="0.2">
      <c r="A33" t="s">
        <v>7</v>
      </c>
      <c r="B33" t="s">
        <v>40</v>
      </c>
      <c r="C33" s="1">
        <v>45969</v>
      </c>
      <c r="D33" s="3">
        <v>0.52152777777777781</v>
      </c>
      <c r="E33">
        <v>22</v>
      </c>
      <c r="F33">
        <v>33351</v>
      </c>
      <c r="G33" t="s">
        <v>74</v>
      </c>
      <c r="H33" s="2">
        <v>23.88</v>
      </c>
      <c r="I33" t="s">
        <v>70</v>
      </c>
      <c r="J33" t="s">
        <v>20</v>
      </c>
    </row>
    <row r="34" spans="1:10" x14ac:dyDescent="0.2">
      <c r="A34" t="s">
        <v>7</v>
      </c>
      <c r="B34" t="s">
        <v>40</v>
      </c>
      <c r="C34" s="1">
        <v>45969</v>
      </c>
      <c r="D34" s="3">
        <v>0.51527777777777772</v>
      </c>
      <c r="E34">
        <v>22</v>
      </c>
      <c r="F34">
        <v>33252</v>
      </c>
      <c r="G34" t="s">
        <v>75</v>
      </c>
      <c r="H34" s="2">
        <v>9.9700000000000006</v>
      </c>
      <c r="I34" t="s">
        <v>69</v>
      </c>
      <c r="J34" t="s">
        <v>20</v>
      </c>
    </row>
    <row r="35" spans="1:10" x14ac:dyDescent="0.2">
      <c r="A35" t="s">
        <v>4</v>
      </c>
      <c r="B35" t="s">
        <v>40</v>
      </c>
      <c r="C35" s="1">
        <v>45969</v>
      </c>
      <c r="D35" s="3">
        <v>0.38611111111111113</v>
      </c>
      <c r="E35">
        <v>61</v>
      </c>
      <c r="F35">
        <v>28333</v>
      </c>
      <c r="G35" t="s">
        <v>74</v>
      </c>
      <c r="H35" s="2">
        <v>12.98</v>
      </c>
      <c r="I35" t="s">
        <v>69</v>
      </c>
      <c r="J35" t="s">
        <v>19</v>
      </c>
    </row>
    <row r="36" spans="1:10" x14ac:dyDescent="0.2">
      <c r="A36" t="s">
        <v>7</v>
      </c>
      <c r="B36" t="s">
        <v>40</v>
      </c>
      <c r="C36" s="1">
        <v>45969</v>
      </c>
      <c r="D36" s="3">
        <v>0.4152777777777778</v>
      </c>
      <c r="E36">
        <v>53</v>
      </c>
      <c r="F36">
        <v>74053</v>
      </c>
      <c r="G36" t="s">
        <v>81</v>
      </c>
      <c r="H36" s="2">
        <v>27.98</v>
      </c>
      <c r="I36" t="s">
        <v>67</v>
      </c>
      <c r="J36" t="s">
        <v>19</v>
      </c>
    </row>
    <row r="37" spans="1:10" x14ac:dyDescent="0.2">
      <c r="A37" t="s">
        <v>7</v>
      </c>
      <c r="B37" t="s">
        <v>40</v>
      </c>
      <c r="C37" s="1">
        <v>45969</v>
      </c>
      <c r="D37" s="3">
        <v>0.44097222222222221</v>
      </c>
      <c r="E37">
        <v>53</v>
      </c>
      <c r="F37">
        <v>77452</v>
      </c>
      <c r="G37" t="s">
        <v>74</v>
      </c>
      <c r="H37" s="2">
        <v>128.94</v>
      </c>
      <c r="I37" t="s">
        <v>99</v>
      </c>
      <c r="J37" t="s">
        <v>19</v>
      </c>
    </row>
    <row r="38" spans="1:10" x14ac:dyDescent="0.2">
      <c r="A38" t="s">
        <v>1</v>
      </c>
      <c r="B38" t="s">
        <v>41</v>
      </c>
      <c r="C38" s="1">
        <v>45970</v>
      </c>
      <c r="D38" s="3">
        <v>0.56319444444444444</v>
      </c>
      <c r="E38">
        <v>52</v>
      </c>
      <c r="F38">
        <v>33267</v>
      </c>
      <c r="G38" t="s">
        <v>48</v>
      </c>
      <c r="H38" s="2">
        <v>85.88</v>
      </c>
      <c r="I38" t="s">
        <v>49</v>
      </c>
      <c r="J38" t="s">
        <v>19</v>
      </c>
    </row>
    <row r="39" spans="1:10" x14ac:dyDescent="0.2">
      <c r="A39" t="s">
        <v>15</v>
      </c>
      <c r="B39" t="s">
        <v>41</v>
      </c>
      <c r="C39" s="1">
        <v>45970</v>
      </c>
      <c r="D39" s="3">
        <v>0.62291666666666667</v>
      </c>
      <c r="E39">
        <v>22</v>
      </c>
      <c r="F39">
        <v>36602</v>
      </c>
      <c r="G39" t="s">
        <v>54</v>
      </c>
      <c r="H39" s="2">
        <v>40.159999999999997</v>
      </c>
      <c r="I39" t="s">
        <v>45</v>
      </c>
      <c r="J39" t="s">
        <v>20</v>
      </c>
    </row>
    <row r="40" spans="1:10" x14ac:dyDescent="0.2">
      <c r="A40" t="s">
        <v>1</v>
      </c>
      <c r="B40" t="s">
        <v>41</v>
      </c>
      <c r="C40" s="1">
        <v>45970</v>
      </c>
      <c r="D40" s="3">
        <v>0.63958333333333328</v>
      </c>
      <c r="E40">
        <v>22</v>
      </c>
      <c r="F40">
        <v>36603</v>
      </c>
      <c r="G40" t="s">
        <v>55</v>
      </c>
      <c r="H40" s="2">
        <v>163.69</v>
      </c>
      <c r="I40" t="s">
        <v>56</v>
      </c>
      <c r="J40" t="s">
        <v>20</v>
      </c>
    </row>
    <row r="41" spans="1:10" x14ac:dyDescent="0.2">
      <c r="A41" t="s">
        <v>7</v>
      </c>
      <c r="B41" t="s">
        <v>41</v>
      </c>
      <c r="C41" s="1">
        <v>45970</v>
      </c>
      <c r="D41" s="3">
        <v>0.57916666666666672</v>
      </c>
      <c r="E41">
        <v>55</v>
      </c>
      <c r="F41">
        <v>66625</v>
      </c>
      <c r="G41" t="s">
        <v>54</v>
      </c>
      <c r="H41" s="2">
        <v>2.2799999999999998</v>
      </c>
      <c r="I41" t="s">
        <v>97</v>
      </c>
      <c r="J41" t="s">
        <v>19</v>
      </c>
    </row>
    <row r="42" spans="1:10" x14ac:dyDescent="0.2">
      <c r="A42" t="s">
        <v>13</v>
      </c>
      <c r="B42" t="s">
        <v>41</v>
      </c>
      <c r="C42" s="1">
        <v>45970</v>
      </c>
      <c r="D42" s="3">
        <v>0.65208333333333335</v>
      </c>
      <c r="E42">
        <v>51</v>
      </c>
      <c r="F42">
        <v>69099</v>
      </c>
      <c r="G42" t="s">
        <v>80</v>
      </c>
      <c r="H42" s="2">
        <v>14.98</v>
      </c>
      <c r="I42" t="s">
        <v>69</v>
      </c>
      <c r="J42" t="s">
        <v>19</v>
      </c>
    </row>
    <row r="43" spans="1:10" x14ac:dyDescent="0.2">
      <c r="A43" t="s">
        <v>12</v>
      </c>
      <c r="B43" t="s">
        <v>32</v>
      </c>
      <c r="C43" s="1">
        <v>45971</v>
      </c>
      <c r="D43" s="3">
        <v>0.64097222222222228</v>
      </c>
      <c r="E43">
        <v>23</v>
      </c>
      <c r="F43">
        <v>66235</v>
      </c>
      <c r="G43" t="s">
        <v>58</v>
      </c>
      <c r="H43" s="2">
        <v>22.71</v>
      </c>
      <c r="I43" t="s">
        <v>49</v>
      </c>
      <c r="J43" t="s">
        <v>20</v>
      </c>
    </row>
    <row r="44" spans="1:10" x14ac:dyDescent="0.2">
      <c r="A44" t="s">
        <v>1</v>
      </c>
      <c r="B44" t="s">
        <v>32</v>
      </c>
      <c r="C44" s="1">
        <v>45971</v>
      </c>
      <c r="D44" s="3">
        <v>0.59375</v>
      </c>
      <c r="E44">
        <v>52</v>
      </c>
      <c r="F44">
        <v>37185</v>
      </c>
      <c r="G44" t="s">
        <v>44</v>
      </c>
      <c r="H44" s="2">
        <v>118.15</v>
      </c>
      <c r="I44" t="s">
        <v>66</v>
      </c>
      <c r="J44" t="s">
        <v>19</v>
      </c>
    </row>
    <row r="45" spans="1:10" x14ac:dyDescent="0.2">
      <c r="A45" t="s">
        <v>15</v>
      </c>
      <c r="B45" t="s">
        <v>32</v>
      </c>
      <c r="C45" s="1">
        <v>45971</v>
      </c>
      <c r="D45" s="3">
        <v>0.60555555555555551</v>
      </c>
      <c r="E45">
        <v>52</v>
      </c>
      <c r="F45">
        <v>37276</v>
      </c>
      <c r="G45" t="s">
        <v>59</v>
      </c>
      <c r="H45" s="2">
        <v>96.17</v>
      </c>
      <c r="I45" t="s">
        <v>67</v>
      </c>
      <c r="J45" t="s">
        <v>19</v>
      </c>
    </row>
    <row r="46" spans="1:10" x14ac:dyDescent="0.2">
      <c r="A46" t="s">
        <v>4</v>
      </c>
      <c r="B46" t="s">
        <v>32</v>
      </c>
      <c r="C46" s="1">
        <v>45971</v>
      </c>
      <c r="D46" s="3">
        <v>0.45902777777777776</v>
      </c>
      <c r="E46">
        <v>52</v>
      </c>
      <c r="F46">
        <v>36179</v>
      </c>
      <c r="G46" t="s">
        <v>79</v>
      </c>
      <c r="H46" s="2">
        <v>599</v>
      </c>
      <c r="I46" t="s">
        <v>43</v>
      </c>
      <c r="J46" t="s">
        <v>19</v>
      </c>
    </row>
    <row r="47" spans="1:10" x14ac:dyDescent="0.2">
      <c r="A47" t="s">
        <v>1</v>
      </c>
      <c r="B47" t="s">
        <v>32</v>
      </c>
      <c r="C47" s="1">
        <v>45971</v>
      </c>
      <c r="D47" s="3">
        <v>0.62361111111111112</v>
      </c>
      <c r="E47">
        <v>52</v>
      </c>
      <c r="F47">
        <v>37466</v>
      </c>
      <c r="G47" t="s">
        <v>115</v>
      </c>
      <c r="H47" s="2">
        <v>18.420000000000002</v>
      </c>
      <c r="I47" t="s">
        <v>34</v>
      </c>
      <c r="J47" t="s">
        <v>19</v>
      </c>
    </row>
    <row r="48" spans="1:10" x14ac:dyDescent="0.2">
      <c r="A48" t="s">
        <v>1</v>
      </c>
      <c r="B48" t="s">
        <v>32</v>
      </c>
      <c r="C48" s="1">
        <v>45971</v>
      </c>
      <c r="D48" s="3">
        <v>0.59097222222222223</v>
      </c>
      <c r="E48">
        <v>62</v>
      </c>
      <c r="F48">
        <v>48025</v>
      </c>
      <c r="G48" t="s">
        <v>64</v>
      </c>
      <c r="H48" s="2">
        <v>379</v>
      </c>
      <c r="I48" t="s">
        <v>116</v>
      </c>
      <c r="J48" t="s">
        <v>19</v>
      </c>
    </row>
    <row r="49" spans="1:10" x14ac:dyDescent="0.2">
      <c r="A49" t="s">
        <v>1</v>
      </c>
      <c r="B49" t="s">
        <v>36</v>
      </c>
      <c r="C49" s="1">
        <v>45972</v>
      </c>
      <c r="D49" s="3">
        <v>0.41736111111111113</v>
      </c>
      <c r="E49">
        <v>22</v>
      </c>
      <c r="F49">
        <v>41800</v>
      </c>
      <c r="G49" t="s">
        <v>55</v>
      </c>
      <c r="H49" s="2">
        <v>107.62</v>
      </c>
      <c r="I49" t="s">
        <v>65</v>
      </c>
      <c r="J49" t="s">
        <v>20</v>
      </c>
    </row>
    <row r="50" spans="1:10" x14ac:dyDescent="0.2">
      <c r="A50" t="s">
        <v>11</v>
      </c>
      <c r="B50" t="s">
        <v>36</v>
      </c>
      <c r="C50" s="1">
        <v>45972</v>
      </c>
      <c r="D50" s="3">
        <v>0.25763888888888886</v>
      </c>
      <c r="E50">
        <v>51</v>
      </c>
      <c r="F50">
        <v>79122</v>
      </c>
      <c r="G50" t="s">
        <v>113</v>
      </c>
      <c r="H50" s="2">
        <v>11.8</v>
      </c>
      <c r="I50" t="s">
        <v>69</v>
      </c>
      <c r="J50" t="s">
        <v>19</v>
      </c>
    </row>
    <row r="51" spans="1:10" x14ac:dyDescent="0.2">
      <c r="A51" t="s">
        <v>15</v>
      </c>
      <c r="B51" t="s">
        <v>36</v>
      </c>
      <c r="C51" s="1">
        <v>45972</v>
      </c>
      <c r="D51" s="3">
        <v>0.54097222222222219</v>
      </c>
      <c r="E51">
        <v>53</v>
      </c>
      <c r="F51">
        <v>85372</v>
      </c>
      <c r="G51" t="s">
        <v>58</v>
      </c>
      <c r="H51" s="2">
        <v>15.94</v>
      </c>
      <c r="I51" t="s">
        <v>69</v>
      </c>
      <c r="J51" t="s">
        <v>19</v>
      </c>
    </row>
    <row r="52" spans="1:10" x14ac:dyDescent="0.2">
      <c r="A52" t="s">
        <v>3</v>
      </c>
      <c r="B52" t="s">
        <v>36</v>
      </c>
      <c r="C52" s="1">
        <v>45972</v>
      </c>
      <c r="D52" s="3">
        <v>0.49513888888888891</v>
      </c>
      <c r="E52">
        <v>52</v>
      </c>
      <c r="F52">
        <v>40775</v>
      </c>
      <c r="G52" t="s">
        <v>64</v>
      </c>
      <c r="H52" s="2">
        <v>109.99</v>
      </c>
      <c r="I52" t="s">
        <v>69</v>
      </c>
      <c r="J52" t="s">
        <v>19</v>
      </c>
    </row>
    <row r="53" spans="1:10" x14ac:dyDescent="0.2">
      <c r="A53" t="s">
        <v>12</v>
      </c>
      <c r="B53" t="s">
        <v>36</v>
      </c>
      <c r="C53" s="1">
        <v>45972</v>
      </c>
      <c r="D53" s="3">
        <v>0.42777777777777776</v>
      </c>
      <c r="E53">
        <v>54</v>
      </c>
      <c r="F53">
        <v>87584</v>
      </c>
      <c r="G53" t="s">
        <v>114</v>
      </c>
      <c r="H53" s="2">
        <v>234.47</v>
      </c>
      <c r="I53" t="s">
        <v>43</v>
      </c>
      <c r="J53" t="s">
        <v>19</v>
      </c>
    </row>
    <row r="54" spans="1:10" x14ac:dyDescent="0.2">
      <c r="A54" t="s">
        <v>17</v>
      </c>
      <c r="B54" t="s">
        <v>37</v>
      </c>
      <c r="C54" s="1">
        <v>45973</v>
      </c>
      <c r="D54" s="3">
        <v>0.74930555555555556</v>
      </c>
      <c r="E54">
        <v>51</v>
      </c>
      <c r="F54">
        <v>83228</v>
      </c>
      <c r="G54" t="s">
        <v>101</v>
      </c>
      <c r="H54" s="2">
        <v>1.64</v>
      </c>
      <c r="I54" t="s">
        <v>34</v>
      </c>
      <c r="J54" t="s">
        <v>19</v>
      </c>
    </row>
    <row r="55" spans="1:10" x14ac:dyDescent="0.2">
      <c r="A55" t="s">
        <v>17</v>
      </c>
      <c r="B55" t="s">
        <v>37</v>
      </c>
      <c r="C55" s="1">
        <v>45973</v>
      </c>
      <c r="D55" s="3">
        <v>0.57986111111111116</v>
      </c>
      <c r="E55">
        <v>53</v>
      </c>
      <c r="F55">
        <v>89382</v>
      </c>
      <c r="G55" t="s">
        <v>48</v>
      </c>
      <c r="H55" s="2">
        <v>20.62</v>
      </c>
      <c r="I55" t="s">
        <v>69</v>
      </c>
      <c r="J55" t="s">
        <v>19</v>
      </c>
    </row>
    <row r="56" spans="1:10" x14ac:dyDescent="0.2">
      <c r="A56" t="s">
        <v>4</v>
      </c>
      <c r="B56" t="s">
        <v>37</v>
      </c>
      <c r="C56" s="1">
        <v>45973</v>
      </c>
      <c r="D56" s="3">
        <v>0.49652777777777779</v>
      </c>
      <c r="E56">
        <v>52</v>
      </c>
      <c r="F56">
        <v>44827</v>
      </c>
      <c r="G56" t="s">
        <v>112</v>
      </c>
      <c r="H56" s="2">
        <v>9.98</v>
      </c>
      <c r="I56" t="s">
        <v>43</v>
      </c>
      <c r="J56" t="s">
        <v>19</v>
      </c>
    </row>
    <row r="57" spans="1:10" x14ac:dyDescent="0.2">
      <c r="A57" t="s">
        <v>57</v>
      </c>
      <c r="B57" t="s">
        <v>38</v>
      </c>
      <c r="C57" s="1">
        <v>45974</v>
      </c>
      <c r="D57" s="3">
        <v>0.65208333333333335</v>
      </c>
      <c r="E57">
        <v>23</v>
      </c>
      <c r="F57">
        <v>77034</v>
      </c>
      <c r="G57" t="s">
        <v>42</v>
      </c>
      <c r="H57" s="2">
        <v>139.66</v>
      </c>
      <c r="I57" t="s">
        <v>68</v>
      </c>
      <c r="J57" t="s">
        <v>20</v>
      </c>
    </row>
    <row r="58" spans="1:10" x14ac:dyDescent="0.2">
      <c r="A58" t="s">
        <v>8</v>
      </c>
      <c r="B58" t="s">
        <v>38</v>
      </c>
      <c r="C58" s="1">
        <v>45974</v>
      </c>
      <c r="D58" s="3">
        <v>0.88472222222222219</v>
      </c>
      <c r="E58">
        <v>55</v>
      </c>
      <c r="F58">
        <v>51293</v>
      </c>
      <c r="G58" t="s">
        <v>92</v>
      </c>
      <c r="H58" s="2">
        <v>86.82</v>
      </c>
      <c r="I58" t="s">
        <v>43</v>
      </c>
      <c r="J58" t="s">
        <v>19</v>
      </c>
    </row>
    <row r="59" spans="1:10" x14ac:dyDescent="0.2">
      <c r="A59" t="s">
        <v>57</v>
      </c>
      <c r="B59" t="s">
        <v>38</v>
      </c>
      <c r="C59" s="1">
        <v>45974</v>
      </c>
      <c r="D59" s="3">
        <v>0.80625000000000002</v>
      </c>
      <c r="E59">
        <v>51</v>
      </c>
      <c r="F59">
        <v>89154</v>
      </c>
      <c r="G59" t="s">
        <v>92</v>
      </c>
      <c r="H59" s="2">
        <v>65.11</v>
      </c>
      <c r="I59" t="s">
        <v>43</v>
      </c>
      <c r="J59" t="s">
        <v>19</v>
      </c>
    </row>
    <row r="60" spans="1:10" x14ac:dyDescent="0.2">
      <c r="A60" t="s">
        <v>57</v>
      </c>
      <c r="B60" t="s">
        <v>38</v>
      </c>
      <c r="C60" s="1">
        <v>45974</v>
      </c>
      <c r="D60" s="3">
        <v>0.80555555555555558</v>
      </c>
      <c r="E60">
        <v>52</v>
      </c>
      <c r="F60">
        <v>76301</v>
      </c>
      <c r="G60" t="s">
        <v>110</v>
      </c>
      <c r="H60" s="2">
        <v>857.08</v>
      </c>
      <c r="I60" t="s">
        <v>69</v>
      </c>
      <c r="J60" t="s">
        <v>19</v>
      </c>
    </row>
    <row r="61" spans="1:10" x14ac:dyDescent="0.2">
      <c r="A61" t="s">
        <v>3</v>
      </c>
      <c r="B61" t="s">
        <v>38</v>
      </c>
      <c r="C61" s="1">
        <v>45974</v>
      </c>
      <c r="D61" s="3">
        <v>0.37430555555555556</v>
      </c>
      <c r="E61">
        <v>55</v>
      </c>
      <c r="F61">
        <v>74470</v>
      </c>
      <c r="G61" t="s">
        <v>111</v>
      </c>
      <c r="H61" s="2">
        <v>193.28</v>
      </c>
      <c r="I61" t="s">
        <v>69</v>
      </c>
      <c r="J61" t="s">
        <v>19</v>
      </c>
    </row>
    <row r="62" spans="1:10" x14ac:dyDescent="0.2">
      <c r="A62" t="s">
        <v>11</v>
      </c>
      <c r="B62" t="s">
        <v>39</v>
      </c>
      <c r="C62" s="1">
        <v>45975</v>
      </c>
      <c r="D62" s="3">
        <v>0.78680555555555554</v>
      </c>
      <c r="E62">
        <v>55</v>
      </c>
      <c r="F62">
        <v>98714</v>
      </c>
      <c r="G62" t="s">
        <v>105</v>
      </c>
      <c r="H62" s="2">
        <v>56.82</v>
      </c>
      <c r="I62" t="s">
        <v>69</v>
      </c>
      <c r="J62" t="s">
        <v>19</v>
      </c>
    </row>
    <row r="63" spans="1:10" x14ac:dyDescent="0.2">
      <c r="A63" t="s">
        <v>17</v>
      </c>
      <c r="B63" t="s">
        <v>39</v>
      </c>
      <c r="C63" s="1">
        <v>45975</v>
      </c>
      <c r="D63" s="3">
        <v>0.69027777777777777</v>
      </c>
      <c r="E63">
        <v>52</v>
      </c>
      <c r="F63">
        <v>78315</v>
      </c>
      <c r="G63" t="s">
        <v>78</v>
      </c>
      <c r="H63" s="2">
        <v>44.13</v>
      </c>
      <c r="I63" t="s">
        <v>69</v>
      </c>
      <c r="J63" t="s">
        <v>19</v>
      </c>
    </row>
    <row r="64" spans="1:10" x14ac:dyDescent="0.2">
      <c r="A64" t="s">
        <v>3</v>
      </c>
      <c r="B64" t="s">
        <v>39</v>
      </c>
      <c r="C64" s="1">
        <v>45975</v>
      </c>
      <c r="D64" s="3">
        <v>0.54583333333333328</v>
      </c>
      <c r="E64">
        <v>55</v>
      </c>
      <c r="F64">
        <v>53612</v>
      </c>
      <c r="G64" t="s">
        <v>106</v>
      </c>
      <c r="H64" s="2">
        <v>22.98</v>
      </c>
      <c r="I64" t="s">
        <v>69</v>
      </c>
      <c r="J64" t="s">
        <v>19</v>
      </c>
    </row>
    <row r="65" spans="1:10" x14ac:dyDescent="0.2">
      <c r="A65" t="s">
        <v>3</v>
      </c>
      <c r="B65" t="s">
        <v>39</v>
      </c>
      <c r="C65" s="1">
        <v>45975</v>
      </c>
      <c r="D65" s="3">
        <v>0.48680555555555555</v>
      </c>
      <c r="E65">
        <v>62</v>
      </c>
      <c r="F65">
        <v>77416</v>
      </c>
      <c r="G65" t="s">
        <v>107</v>
      </c>
      <c r="H65" s="2">
        <v>37.97</v>
      </c>
      <c r="I65" t="s">
        <v>69</v>
      </c>
      <c r="J65" t="s">
        <v>19</v>
      </c>
    </row>
    <row r="66" spans="1:10" x14ac:dyDescent="0.2">
      <c r="A66" t="s">
        <v>3</v>
      </c>
      <c r="B66" t="s">
        <v>39</v>
      </c>
      <c r="C66" s="1">
        <v>45975</v>
      </c>
      <c r="D66" s="3">
        <v>0.45763888888888887</v>
      </c>
      <c r="E66">
        <v>52</v>
      </c>
      <c r="F66">
        <v>51201</v>
      </c>
      <c r="G66" t="s">
        <v>84</v>
      </c>
      <c r="H66" s="2">
        <v>61.69</v>
      </c>
      <c r="I66" t="s">
        <v>69</v>
      </c>
      <c r="J66" t="s">
        <v>19</v>
      </c>
    </row>
    <row r="67" spans="1:10" x14ac:dyDescent="0.2">
      <c r="A67" t="s">
        <v>1</v>
      </c>
      <c r="B67" t="s">
        <v>39</v>
      </c>
      <c r="C67" s="1">
        <v>45975</v>
      </c>
      <c r="D67" s="3">
        <v>0.30625000000000002</v>
      </c>
      <c r="E67">
        <v>51</v>
      </c>
      <c r="F67">
        <v>51699</v>
      </c>
      <c r="G67" t="s">
        <v>108</v>
      </c>
      <c r="H67" s="2">
        <v>25.4</v>
      </c>
      <c r="I67" t="s">
        <v>34</v>
      </c>
      <c r="J67" t="s">
        <v>19</v>
      </c>
    </row>
    <row r="68" spans="1:10" x14ac:dyDescent="0.2">
      <c r="A68" t="s">
        <v>1</v>
      </c>
      <c r="B68" t="s">
        <v>39</v>
      </c>
      <c r="C68" s="1">
        <v>45975</v>
      </c>
      <c r="D68" s="3">
        <v>0.26319444444444445</v>
      </c>
      <c r="E68">
        <v>55</v>
      </c>
      <c r="F68">
        <v>95272</v>
      </c>
      <c r="G68" t="s">
        <v>109</v>
      </c>
      <c r="H68" s="2">
        <v>169.94</v>
      </c>
      <c r="I68" t="s">
        <v>34</v>
      </c>
      <c r="J68" t="s">
        <v>19</v>
      </c>
    </row>
    <row r="69" spans="1:10" x14ac:dyDescent="0.2">
      <c r="A69" t="s">
        <v>13</v>
      </c>
      <c r="B69" t="s">
        <v>40</v>
      </c>
      <c r="C69" s="1">
        <v>45976</v>
      </c>
      <c r="D69" s="3">
        <v>0.46875</v>
      </c>
      <c r="E69">
        <v>22</v>
      </c>
      <c r="F69">
        <v>48854</v>
      </c>
      <c r="G69" t="s">
        <v>60</v>
      </c>
      <c r="H69" s="2">
        <v>91.78</v>
      </c>
      <c r="I69" t="s">
        <v>69</v>
      </c>
      <c r="J69" t="s">
        <v>20</v>
      </c>
    </row>
    <row r="70" spans="1:10" x14ac:dyDescent="0.2">
      <c r="A70" t="s">
        <v>8</v>
      </c>
      <c r="B70" t="s">
        <v>40</v>
      </c>
      <c r="C70" s="1">
        <v>45976</v>
      </c>
      <c r="D70" s="3">
        <v>0.89930555555555558</v>
      </c>
      <c r="E70">
        <v>54</v>
      </c>
      <c r="F70">
        <v>10014</v>
      </c>
      <c r="G70" t="s">
        <v>92</v>
      </c>
      <c r="H70" s="2">
        <v>6.97</v>
      </c>
      <c r="I70" t="s">
        <v>43</v>
      </c>
      <c r="J70" t="s">
        <v>19</v>
      </c>
    </row>
    <row r="71" spans="1:10" x14ac:dyDescent="0.2">
      <c r="A71" t="s">
        <v>7</v>
      </c>
      <c r="B71" t="s">
        <v>40</v>
      </c>
      <c r="C71" s="1">
        <v>45976</v>
      </c>
      <c r="D71" s="3">
        <v>0.48541666666666666</v>
      </c>
      <c r="E71">
        <v>54</v>
      </c>
      <c r="F71">
        <v>8398</v>
      </c>
      <c r="G71" t="s">
        <v>103</v>
      </c>
      <c r="H71" s="2">
        <v>146.54</v>
      </c>
      <c r="I71" t="s">
        <v>69</v>
      </c>
      <c r="J71" t="s">
        <v>19</v>
      </c>
    </row>
    <row r="72" spans="1:10" x14ac:dyDescent="0.2">
      <c r="A72" t="s">
        <v>13</v>
      </c>
      <c r="B72" t="s">
        <v>40</v>
      </c>
      <c r="C72" s="1">
        <v>45976</v>
      </c>
      <c r="D72" s="3">
        <v>0.38750000000000001</v>
      </c>
      <c r="E72">
        <v>52</v>
      </c>
      <c r="F72">
        <v>56917</v>
      </c>
      <c r="G72" t="s">
        <v>104</v>
      </c>
      <c r="H72" s="2">
        <v>75.989999999999995</v>
      </c>
      <c r="I72" t="s">
        <v>69</v>
      </c>
      <c r="J72" t="s">
        <v>19</v>
      </c>
    </row>
    <row r="73" spans="1:10" x14ac:dyDescent="0.2">
      <c r="A73" t="s">
        <v>13</v>
      </c>
      <c r="B73" t="s">
        <v>40</v>
      </c>
      <c r="C73" s="1">
        <v>45976</v>
      </c>
      <c r="D73" s="3">
        <v>0.36875000000000002</v>
      </c>
      <c r="E73">
        <v>53</v>
      </c>
      <c r="F73">
        <v>56243</v>
      </c>
      <c r="G73" t="s">
        <v>60</v>
      </c>
      <c r="H73" s="2">
        <v>3.28</v>
      </c>
      <c r="I73" t="s">
        <v>70</v>
      </c>
      <c r="J73" t="s">
        <v>19</v>
      </c>
    </row>
    <row r="74" spans="1:10" x14ac:dyDescent="0.2">
      <c r="A74" t="s">
        <v>6</v>
      </c>
      <c r="B74" t="s">
        <v>41</v>
      </c>
      <c r="C74" s="1">
        <v>45977</v>
      </c>
      <c r="D74" s="3">
        <v>0.53194444444444444</v>
      </c>
      <c r="E74">
        <v>22</v>
      </c>
      <c r="F74">
        <v>50785</v>
      </c>
      <c r="G74" t="s">
        <v>61</v>
      </c>
      <c r="H74" s="2">
        <v>24.97</v>
      </c>
      <c r="I74" t="s">
        <v>43</v>
      </c>
      <c r="J74" t="s">
        <v>20</v>
      </c>
    </row>
    <row r="75" spans="1:10" x14ac:dyDescent="0.2">
      <c r="A75" t="s">
        <v>7</v>
      </c>
      <c r="B75" t="s">
        <v>41</v>
      </c>
      <c r="C75" s="1">
        <v>45977</v>
      </c>
      <c r="D75" s="3">
        <v>0.76458333333333328</v>
      </c>
      <c r="E75">
        <v>51</v>
      </c>
      <c r="F75">
        <v>1035</v>
      </c>
      <c r="G75" t="s">
        <v>102</v>
      </c>
      <c r="H75" s="2">
        <v>32.979999999999997</v>
      </c>
      <c r="I75" t="s">
        <v>70</v>
      </c>
      <c r="J75" t="s">
        <v>19</v>
      </c>
    </row>
    <row r="76" spans="1:10" x14ac:dyDescent="0.2">
      <c r="A76" t="s">
        <v>11</v>
      </c>
      <c r="B76" t="s">
        <v>32</v>
      </c>
      <c r="C76" s="1">
        <v>45978</v>
      </c>
      <c r="D76" s="3">
        <v>0.49722222222222223</v>
      </c>
      <c r="E76">
        <v>22</v>
      </c>
      <c r="F76">
        <v>52674</v>
      </c>
      <c r="G76" t="s">
        <v>76</v>
      </c>
      <c r="H76" s="2">
        <v>198.27</v>
      </c>
      <c r="I76" t="s">
        <v>69</v>
      </c>
      <c r="J76" t="s">
        <v>20</v>
      </c>
    </row>
    <row r="77" spans="1:10" x14ac:dyDescent="0.2">
      <c r="A77" t="s">
        <v>11</v>
      </c>
      <c r="B77" t="s">
        <v>32</v>
      </c>
      <c r="C77" s="1">
        <v>45978</v>
      </c>
      <c r="D77" s="3">
        <v>0.49861111111111112</v>
      </c>
      <c r="E77">
        <v>22</v>
      </c>
      <c r="F77">
        <v>52682</v>
      </c>
      <c r="G77" t="s">
        <v>77</v>
      </c>
      <c r="H77" s="2">
        <v>340.16</v>
      </c>
      <c r="I77" t="s">
        <v>69</v>
      </c>
      <c r="J77" t="s">
        <v>20</v>
      </c>
    </row>
    <row r="78" spans="1:10" x14ac:dyDescent="0.2">
      <c r="A78" t="s">
        <v>11</v>
      </c>
      <c r="B78" t="s">
        <v>32</v>
      </c>
      <c r="C78" s="1">
        <v>45978</v>
      </c>
      <c r="D78" s="3">
        <v>0.49861111111111112</v>
      </c>
      <c r="E78">
        <v>22</v>
      </c>
      <c r="F78">
        <v>52682</v>
      </c>
      <c r="G78" t="s">
        <v>78</v>
      </c>
      <c r="H78" s="2">
        <v>17.27</v>
      </c>
      <c r="I78" t="s">
        <v>69</v>
      </c>
      <c r="J78" t="s">
        <v>20</v>
      </c>
    </row>
    <row r="79" spans="1:10" x14ac:dyDescent="0.2">
      <c r="A79" t="s">
        <v>3</v>
      </c>
      <c r="B79" t="s">
        <v>32</v>
      </c>
      <c r="C79" s="1">
        <v>45978</v>
      </c>
      <c r="D79" s="3">
        <v>0.43125000000000002</v>
      </c>
      <c r="E79">
        <v>61</v>
      </c>
      <c r="F79">
        <v>36873</v>
      </c>
      <c r="G79" t="s">
        <v>101</v>
      </c>
      <c r="H79" s="2">
        <v>4.92</v>
      </c>
      <c r="I79" t="s">
        <v>99</v>
      </c>
      <c r="J79" t="s">
        <v>19</v>
      </c>
    </row>
    <row r="80" spans="1:10" x14ac:dyDescent="0.2">
      <c r="A80" t="s">
        <v>16</v>
      </c>
      <c r="B80" t="s">
        <v>36</v>
      </c>
      <c r="C80" s="1">
        <v>45979</v>
      </c>
      <c r="D80" s="3">
        <v>0.47361111111111109</v>
      </c>
      <c r="E80">
        <v>22</v>
      </c>
      <c r="F80">
        <v>54597</v>
      </c>
      <c r="G80" t="s">
        <v>62</v>
      </c>
      <c r="H80" s="2">
        <v>70.709999999999994</v>
      </c>
      <c r="I80" t="s">
        <v>69</v>
      </c>
      <c r="J80" t="s">
        <v>20</v>
      </c>
    </row>
    <row r="81" spans="1:10" x14ac:dyDescent="0.2">
      <c r="A81" t="s">
        <v>1</v>
      </c>
      <c r="B81" t="s">
        <v>36</v>
      </c>
      <c r="C81" s="1">
        <v>45979</v>
      </c>
      <c r="D81" s="3">
        <v>0.5229166666666667</v>
      </c>
      <c r="E81">
        <v>22</v>
      </c>
      <c r="F81">
        <v>54803</v>
      </c>
      <c r="G81" t="s">
        <v>63</v>
      </c>
      <c r="H81" s="2">
        <v>19.75</v>
      </c>
      <c r="I81" t="s">
        <v>70</v>
      </c>
      <c r="J81" t="s">
        <v>20</v>
      </c>
    </row>
    <row r="82" spans="1:10" x14ac:dyDescent="0.2">
      <c r="A82" t="s">
        <v>17</v>
      </c>
      <c r="B82" t="s">
        <v>36</v>
      </c>
      <c r="C82" s="1">
        <v>45979</v>
      </c>
      <c r="D82" s="3">
        <v>0.56041666666666667</v>
      </c>
      <c r="E82">
        <v>22</v>
      </c>
      <c r="F82">
        <v>54591</v>
      </c>
      <c r="G82" t="s">
        <v>64</v>
      </c>
      <c r="H82" s="2">
        <v>280.08</v>
      </c>
      <c r="I82" t="s">
        <v>71</v>
      </c>
      <c r="J82" t="s">
        <v>20</v>
      </c>
    </row>
  </sheetData>
  <mergeCells count="1">
    <mergeCell ref="A1:J2"/>
  </mergeCells>
  <dataValidations count="3">
    <dataValidation type="list" allowBlank="1" showInputMessage="1" showErrorMessage="1" sqref="A3:A82" xr:uid="{695AB9F5-BC41-744D-A779-DA9B03D496A0}">
      <formula1>Cashiers</formula1>
    </dataValidation>
    <dataValidation type="list" allowBlank="1" showInputMessage="1" showErrorMessage="1" sqref="J3:J82" xr:uid="{A91443AB-0034-4F48-BC4C-6538B21ACFC6}">
      <formula1>Locations</formula1>
    </dataValidation>
    <dataValidation type="list" allowBlank="1" showInputMessage="1" showErrorMessage="1" sqref="B3:B82" xr:uid="{7AA29071-1B93-C143-A32A-EA78A4320709}">
      <formula1>Days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6569-1C2C-CC47-81C5-50FC071D0CE9}">
  <sheetPr>
    <tabColor theme="5" tint="0.79998168889431442"/>
  </sheetPr>
  <dimension ref="A3:O33"/>
  <sheetViews>
    <sheetView workbookViewId="0">
      <selection activeCell="A16" sqref="A16"/>
    </sheetView>
  </sheetViews>
  <sheetFormatPr baseColWidth="10" defaultRowHeight="16" x14ac:dyDescent="0.2"/>
  <cols>
    <col min="1" max="1" width="13" bestFit="1" customWidth="1"/>
    <col min="2" max="3" width="16" bestFit="1" customWidth="1"/>
    <col min="4" max="4" width="14.33203125" bestFit="1" customWidth="1"/>
    <col min="5" max="5" width="13.6640625" bestFit="1" customWidth="1"/>
    <col min="6" max="7" width="5.6640625" bestFit="1" customWidth="1"/>
    <col min="8" max="8" width="13" bestFit="1" customWidth="1"/>
    <col min="9" max="9" width="17.5" bestFit="1" customWidth="1"/>
    <col min="10" max="13" width="5.6640625" bestFit="1" customWidth="1"/>
    <col min="14" max="53" width="6.6640625" bestFit="1" customWidth="1"/>
    <col min="54" max="80" width="7.6640625" bestFit="1" customWidth="1"/>
    <col min="81" max="81" width="10.5" bestFit="1" customWidth="1"/>
  </cols>
  <sheetData>
    <row r="3" spans="1:9" x14ac:dyDescent="0.2">
      <c r="A3" s="4" t="s">
        <v>117</v>
      </c>
      <c r="B3" t="s">
        <v>119</v>
      </c>
      <c r="D3" t="s">
        <v>121</v>
      </c>
      <c r="E3" t="s">
        <v>122</v>
      </c>
      <c r="H3" s="4" t="s">
        <v>117</v>
      </c>
      <c r="I3" t="s">
        <v>120</v>
      </c>
    </row>
    <row r="4" spans="1:9" x14ac:dyDescent="0.2">
      <c r="A4" s="5" t="s">
        <v>1</v>
      </c>
      <c r="B4" s="2">
        <v>3600.0349999999999</v>
      </c>
      <c r="D4" s="2">
        <v>8580.9349999999959</v>
      </c>
      <c r="E4" s="6">
        <v>79</v>
      </c>
      <c r="H4" s="5" t="s">
        <v>41</v>
      </c>
      <c r="I4">
        <v>7</v>
      </c>
    </row>
    <row r="5" spans="1:9" x14ac:dyDescent="0.2">
      <c r="A5" s="5" t="s">
        <v>57</v>
      </c>
      <c r="B5" s="2">
        <v>1061.8499999999999</v>
      </c>
      <c r="H5" s="5" t="s">
        <v>32</v>
      </c>
      <c r="I5">
        <v>11</v>
      </c>
    </row>
    <row r="6" spans="1:9" x14ac:dyDescent="0.2">
      <c r="A6" s="5" t="s">
        <v>4</v>
      </c>
      <c r="B6" s="2">
        <v>977.35</v>
      </c>
      <c r="H6" s="5" t="s">
        <v>36</v>
      </c>
      <c r="I6">
        <v>14</v>
      </c>
    </row>
    <row r="7" spans="1:9" x14ac:dyDescent="0.2">
      <c r="A7" s="5" t="s">
        <v>11</v>
      </c>
      <c r="B7" s="2">
        <v>624.31999999999994</v>
      </c>
      <c r="H7" s="5" t="s">
        <v>37</v>
      </c>
      <c r="I7">
        <v>10</v>
      </c>
    </row>
    <row r="8" spans="1:9" x14ac:dyDescent="0.2">
      <c r="A8" s="5" t="s">
        <v>3</v>
      </c>
      <c r="B8" s="2">
        <v>441.96000000000004</v>
      </c>
      <c r="H8" s="5" t="s">
        <v>38</v>
      </c>
      <c r="I8">
        <v>12</v>
      </c>
    </row>
    <row r="9" spans="1:9" x14ac:dyDescent="0.2">
      <c r="A9" s="5" t="s">
        <v>7</v>
      </c>
      <c r="B9" s="2">
        <v>372.57</v>
      </c>
      <c r="H9" s="5" t="s">
        <v>39</v>
      </c>
      <c r="I9">
        <v>10</v>
      </c>
    </row>
    <row r="10" spans="1:9" x14ac:dyDescent="0.2">
      <c r="A10" s="5" t="s">
        <v>17</v>
      </c>
      <c r="B10" s="2">
        <v>346.46999999999997</v>
      </c>
      <c r="H10" s="5" t="s">
        <v>40</v>
      </c>
      <c r="I10">
        <v>15</v>
      </c>
    </row>
    <row r="11" spans="1:9" x14ac:dyDescent="0.2">
      <c r="A11" s="5" t="s">
        <v>118</v>
      </c>
      <c r="B11" s="2">
        <v>7424.5550000000003</v>
      </c>
      <c r="H11" s="5" t="s">
        <v>118</v>
      </c>
      <c r="I11">
        <v>79</v>
      </c>
    </row>
    <row r="14" spans="1:9" x14ac:dyDescent="0.2">
      <c r="H14" s="4" t="s">
        <v>117</v>
      </c>
      <c r="I14" t="s">
        <v>120</v>
      </c>
    </row>
    <row r="15" spans="1:9" x14ac:dyDescent="0.2">
      <c r="A15" s="4" t="s">
        <v>117</v>
      </c>
      <c r="B15" t="s">
        <v>120</v>
      </c>
      <c r="H15" s="5" t="s">
        <v>45</v>
      </c>
      <c r="I15">
        <v>2</v>
      </c>
    </row>
    <row r="16" spans="1:9" x14ac:dyDescent="0.2">
      <c r="A16" s="5" t="s">
        <v>1</v>
      </c>
      <c r="B16">
        <v>23</v>
      </c>
      <c r="H16" s="5" t="s">
        <v>69</v>
      </c>
      <c r="I16">
        <v>29</v>
      </c>
    </row>
    <row r="17" spans="1:15" x14ac:dyDescent="0.2">
      <c r="A17" s="5" t="s">
        <v>3</v>
      </c>
      <c r="B17">
        <v>8</v>
      </c>
      <c r="H17" s="5" t="s">
        <v>70</v>
      </c>
      <c r="I17">
        <v>4</v>
      </c>
      <c r="O17" t="s">
        <v>123</v>
      </c>
    </row>
    <row r="18" spans="1:15" x14ac:dyDescent="0.2">
      <c r="A18" s="5" t="s">
        <v>7</v>
      </c>
      <c r="B18">
        <v>7</v>
      </c>
      <c r="H18" s="5" t="s">
        <v>43</v>
      </c>
      <c r="I18">
        <v>11</v>
      </c>
    </row>
    <row r="19" spans="1:15" x14ac:dyDescent="0.2">
      <c r="A19" s="5" t="s">
        <v>4</v>
      </c>
      <c r="B19">
        <v>6</v>
      </c>
      <c r="H19" s="5" t="s">
        <v>97</v>
      </c>
      <c r="I19">
        <v>2</v>
      </c>
    </row>
    <row r="20" spans="1:15" x14ac:dyDescent="0.2">
      <c r="A20" s="5" t="s">
        <v>11</v>
      </c>
      <c r="B20">
        <v>5</v>
      </c>
      <c r="H20" s="5" t="s">
        <v>34</v>
      </c>
      <c r="I20">
        <v>11</v>
      </c>
    </row>
    <row r="21" spans="1:15" x14ac:dyDescent="0.2">
      <c r="A21" s="5" t="s">
        <v>15</v>
      </c>
      <c r="B21">
        <v>4</v>
      </c>
      <c r="H21" s="5" t="s">
        <v>118</v>
      </c>
      <c r="I21">
        <v>59</v>
      </c>
    </row>
    <row r="22" spans="1:15" x14ac:dyDescent="0.2">
      <c r="A22" s="5" t="s">
        <v>13</v>
      </c>
      <c r="B22">
        <v>4</v>
      </c>
    </row>
    <row r="23" spans="1:15" x14ac:dyDescent="0.2">
      <c r="A23" s="5" t="s">
        <v>8</v>
      </c>
      <c r="B23">
        <v>4</v>
      </c>
    </row>
    <row r="24" spans="1:15" x14ac:dyDescent="0.2">
      <c r="A24" s="5" t="s">
        <v>17</v>
      </c>
      <c r="B24">
        <v>4</v>
      </c>
    </row>
    <row r="25" spans="1:15" x14ac:dyDescent="0.2">
      <c r="A25" s="5" t="s">
        <v>57</v>
      </c>
      <c r="B25">
        <v>3</v>
      </c>
    </row>
    <row r="26" spans="1:15" x14ac:dyDescent="0.2">
      <c r="A26" s="5" t="s">
        <v>9</v>
      </c>
      <c r="B26">
        <v>2</v>
      </c>
    </row>
    <row r="27" spans="1:15" x14ac:dyDescent="0.2">
      <c r="A27" s="5" t="s">
        <v>2</v>
      </c>
      <c r="B27">
        <v>2</v>
      </c>
    </row>
    <row r="28" spans="1:15" x14ac:dyDescent="0.2">
      <c r="A28" s="5" t="s">
        <v>12</v>
      </c>
      <c r="B28">
        <v>2</v>
      </c>
    </row>
    <row r="29" spans="1:15" x14ac:dyDescent="0.2">
      <c r="A29" s="5" t="s">
        <v>6</v>
      </c>
      <c r="B29">
        <v>2</v>
      </c>
    </row>
    <row r="30" spans="1:15" x14ac:dyDescent="0.2">
      <c r="A30" s="5" t="s">
        <v>16</v>
      </c>
      <c r="B30">
        <v>1</v>
      </c>
    </row>
    <row r="31" spans="1:15" x14ac:dyDescent="0.2">
      <c r="A31" s="5" t="s">
        <v>5</v>
      </c>
      <c r="B31">
        <v>1</v>
      </c>
    </row>
    <row r="32" spans="1:15" x14ac:dyDescent="0.2">
      <c r="A32" s="5" t="s">
        <v>10</v>
      </c>
      <c r="B32">
        <v>1</v>
      </c>
    </row>
    <row r="33" spans="1:2" x14ac:dyDescent="0.2">
      <c r="A33" s="5" t="s">
        <v>118</v>
      </c>
      <c r="B33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F7E3-50E8-DA4A-954D-E7C9CE4E78D1}">
  <sheetPr>
    <tabColor theme="5"/>
  </sheetPr>
  <dimension ref="B2:F20"/>
  <sheetViews>
    <sheetView workbookViewId="0">
      <selection activeCell="D16" sqref="D16"/>
    </sheetView>
  </sheetViews>
  <sheetFormatPr baseColWidth="10" defaultRowHeight="16" x14ac:dyDescent="0.2"/>
  <cols>
    <col min="2" max="2" width="11" customWidth="1"/>
    <col min="4" max="4" width="11.6640625" customWidth="1"/>
  </cols>
  <sheetData>
    <row r="2" spans="2:6" x14ac:dyDescent="0.2">
      <c r="B2" t="s">
        <v>0</v>
      </c>
      <c r="D2" t="s">
        <v>18</v>
      </c>
      <c r="F2" t="s">
        <v>35</v>
      </c>
    </row>
    <row r="3" spans="2:6" x14ac:dyDescent="0.2">
      <c r="B3" t="s">
        <v>1</v>
      </c>
      <c r="D3" t="s">
        <v>20</v>
      </c>
      <c r="F3" t="s">
        <v>32</v>
      </c>
    </row>
    <row r="4" spans="2:6" x14ac:dyDescent="0.2">
      <c r="B4" t="s">
        <v>15</v>
      </c>
      <c r="D4" t="s">
        <v>19</v>
      </c>
      <c r="F4" t="s">
        <v>36</v>
      </c>
    </row>
    <row r="5" spans="2:6" x14ac:dyDescent="0.2">
      <c r="B5" t="s">
        <v>2</v>
      </c>
      <c r="F5" t="s">
        <v>37</v>
      </c>
    </row>
    <row r="6" spans="2:6" x14ac:dyDescent="0.2">
      <c r="B6" t="s">
        <v>8</v>
      </c>
      <c r="F6" t="s">
        <v>38</v>
      </c>
    </row>
    <row r="7" spans="2:6" x14ac:dyDescent="0.2">
      <c r="B7" t="s">
        <v>5</v>
      </c>
      <c r="F7" t="s">
        <v>39</v>
      </c>
    </row>
    <row r="8" spans="2:6" x14ac:dyDescent="0.2">
      <c r="B8" t="s">
        <v>6</v>
      </c>
      <c r="F8" t="s">
        <v>40</v>
      </c>
    </row>
    <row r="9" spans="2:6" x14ac:dyDescent="0.2">
      <c r="B9" t="s">
        <v>11</v>
      </c>
      <c r="F9" t="s">
        <v>41</v>
      </c>
    </row>
    <row r="10" spans="2:6" x14ac:dyDescent="0.2">
      <c r="B10" t="s">
        <v>17</v>
      </c>
    </row>
    <row r="11" spans="2:6" x14ac:dyDescent="0.2">
      <c r="B11" t="s">
        <v>3</v>
      </c>
    </row>
    <row r="12" spans="2:6" x14ac:dyDescent="0.2">
      <c r="B12" t="s">
        <v>4</v>
      </c>
    </row>
    <row r="13" spans="2:6" x14ac:dyDescent="0.2">
      <c r="B13" t="s">
        <v>16</v>
      </c>
    </row>
    <row r="14" spans="2:6" x14ac:dyDescent="0.2">
      <c r="B14" t="s">
        <v>14</v>
      </c>
    </row>
    <row r="15" spans="2:6" x14ac:dyDescent="0.2">
      <c r="B15" t="s">
        <v>10</v>
      </c>
    </row>
    <row r="16" spans="2:6" x14ac:dyDescent="0.2">
      <c r="B16" t="s">
        <v>13</v>
      </c>
    </row>
    <row r="17" spans="2:2" x14ac:dyDescent="0.2">
      <c r="B17" t="s">
        <v>7</v>
      </c>
    </row>
    <row r="18" spans="2:2" x14ac:dyDescent="0.2">
      <c r="B18" t="s">
        <v>9</v>
      </c>
    </row>
    <row r="19" spans="2:2" x14ac:dyDescent="0.2">
      <c r="B19" t="s">
        <v>12</v>
      </c>
    </row>
    <row r="20" spans="2:2" x14ac:dyDescent="0.2">
      <c r="B20" t="s">
        <v>57</v>
      </c>
    </row>
  </sheetData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Dashboard</vt:lpstr>
      <vt:lpstr>Recovery Log</vt:lpstr>
      <vt:lpstr>Pivots</vt:lpstr>
      <vt:lpstr>Dropdown List</vt:lpstr>
      <vt:lpstr>Cashier_Behavior</vt:lpstr>
      <vt:lpstr>Cashier_Name</vt:lpstr>
      <vt:lpstr>Cashiers</vt:lpstr>
      <vt:lpstr>Date</vt:lpstr>
      <vt:lpstr>Day_of_Week</vt:lpstr>
      <vt:lpstr>Days</vt:lpstr>
      <vt:lpstr>Location</vt:lpstr>
      <vt:lpstr>Locations</vt:lpstr>
      <vt:lpstr>Product_Description</vt:lpstr>
      <vt:lpstr>Recovery</vt:lpstr>
      <vt:lpstr>Register</vt:lpstr>
      <vt:lpstr>Time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Quiroz</dc:creator>
  <cp:lastModifiedBy>Alan Quiroz</cp:lastModifiedBy>
  <dcterms:created xsi:type="dcterms:W3CDTF">2025-11-20T18:37:48Z</dcterms:created>
  <dcterms:modified xsi:type="dcterms:W3CDTF">2025-11-21T08:55:12Z</dcterms:modified>
</cp:coreProperties>
</file>